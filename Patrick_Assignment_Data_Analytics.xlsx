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https://d.docs.live.net/99516e886b40cb12/Desktop/"/>
    </mc:Choice>
  </mc:AlternateContent>
  <xr:revisionPtr revIDLastSave="2" documentId="8_{BB9973CA-D3E0-46C8-8269-344D004016C4}" xr6:coauthVersionLast="47" xr6:coauthVersionMax="47" xr10:uidLastSave="{E020B265-EBAF-4487-AE68-12D0CA88EF18}"/>
  <bookViews>
    <workbookView xWindow="-108" yWindow="-108" windowWidth="23256" windowHeight="12456" firstSheet="12" activeTab="16" xr2:uid="{00000000-000D-0000-FFFF-FFFF00000000}"/>
  </bookViews>
  <sheets>
    <sheet name="Sales Dataset" sheetId="1" r:id="rId1"/>
    <sheet name="Total Sales" sheetId="6" r:id="rId2"/>
    <sheet name="Customer Trends" sheetId="15" r:id="rId3"/>
    <sheet name="Total Profit vs Product" sheetId="7" r:id="rId4"/>
    <sheet name="Sales vs Years" sheetId="8" r:id="rId5"/>
    <sheet name="Sales vs Cities" sheetId="9" r:id="rId6"/>
    <sheet name="Profit % vs Product" sheetId="10" r:id="rId7"/>
    <sheet name="Sum per Product" sheetId="16" r:id="rId8"/>
    <sheet name="DashBoard" sheetId="14" r:id="rId9"/>
    <sheet name="Employment Dataset" sheetId="2" r:id="rId10"/>
    <sheet name="Gender_Comparison" sheetId="23" r:id="rId11"/>
    <sheet name="Employement_Status" sheetId="24" r:id="rId12"/>
    <sheet name="Department_Performance" sheetId="32" r:id="rId13"/>
    <sheet name="Department vs Salary" sheetId="34" r:id="rId14"/>
    <sheet name="Employment vs City" sheetId="35" r:id="rId15"/>
    <sheet name="Job_Category" sheetId="36" r:id="rId16"/>
    <sheet name="Dash_Board" sheetId="37" r:id="rId17"/>
  </sheets>
  <definedNames>
    <definedName name="Slicer_City">#N/A</definedName>
    <definedName name="Slicer_Department">#N/A</definedName>
    <definedName name="Slicer_Job_Category">#N/A</definedName>
    <definedName name="Slicer_Performance">#N/A</definedName>
    <definedName name="Slicer_Product_Name">#N/A</definedName>
    <definedName name="Slicer_Profit_Percentage">#N/A</definedName>
    <definedName name="Slicer_Salary_Range">#N/A</definedName>
    <definedName name="Slicer_Salary_Range_200K_400K">#N/A</definedName>
    <definedName name="Slicer_Salary_Range_400K_700K">#N/A</definedName>
    <definedName name="Slicer_Salary_Range_700K_1M">#N/A</definedName>
    <definedName name="Slicer_Salary_Range_M">#N/A</definedName>
    <definedName name="Slicer_Total_Sales">#N/A</definedName>
  </definedNames>
  <calcPr calcId="191029"/>
  <pivotCaches>
    <pivotCache cacheId="35" r:id="rId18"/>
    <pivotCache cacheId="33" r:id="rId19"/>
    <pivotCache cacheId="110" r:id="rId20"/>
    <pivotCache cacheId="111" r:id="rId21"/>
    <pivotCache cacheId="117" r:id="rId22"/>
    <pivotCache cacheId="115" r:id="rId23"/>
    <pivotCache cacheId="116"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35" i="2" l="1"/>
  <c r="J134" i="2"/>
  <c r="J133" i="2"/>
  <c r="J132" i="2"/>
  <c r="J131" i="2"/>
  <c r="I135" i="2"/>
  <c r="H135" i="2"/>
  <c r="G135" i="2"/>
  <c r="I134" i="2"/>
  <c r="H134" i="2"/>
  <c r="G134" i="2"/>
  <c r="I133" i="2"/>
  <c r="H133" i="2"/>
  <c r="G133" i="2"/>
  <c r="I132" i="2"/>
  <c r="H132" i="2"/>
  <c r="G132" i="2"/>
  <c r="I131" i="2"/>
  <c r="H131" i="2"/>
  <c r="G131"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F128" i="2"/>
  <c r="E128" i="2"/>
  <c r="D128" i="2"/>
  <c r="C128" i="2"/>
  <c r="B128" i="2"/>
  <c r="C125" i="2"/>
  <c r="B125" i="2"/>
  <c r="H2" i="16"/>
  <c r="G2" i="16"/>
  <c r="F2" i="16"/>
  <c r="E2" i="16"/>
  <c r="D2" i="16"/>
  <c r="C2" i="16"/>
  <c r="B2" i="16"/>
  <c r="A2" i="16"/>
  <c r="S2" i="1"/>
  <c r="R2" i="1"/>
  <c r="Q2" i="1"/>
  <c r="P2" i="1"/>
  <c r="O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alcChain>
</file>

<file path=xl/sharedStrings.xml><?xml version="1.0" encoding="utf-8"?>
<sst xmlns="http://schemas.openxmlformats.org/spreadsheetml/2006/main" count="2258" uniqueCount="371">
  <si>
    <t>Product ID</t>
  </si>
  <si>
    <t>Product Name</t>
  </si>
  <si>
    <t>Category</t>
  </si>
  <si>
    <t>Year</t>
  </si>
  <si>
    <t>Month</t>
  </si>
  <si>
    <t>Sales Amount</t>
  </si>
  <si>
    <t>Quantity Sold</t>
  </si>
  <si>
    <t>Total Profit</t>
  </si>
  <si>
    <t>Profit Percentage</t>
  </si>
  <si>
    <t>City</t>
  </si>
  <si>
    <t>Customer Type</t>
  </si>
  <si>
    <t>Payment Method</t>
  </si>
  <si>
    <t>P006</t>
  </si>
  <si>
    <t>Monitor</t>
  </si>
  <si>
    <t>Electronics</t>
  </si>
  <si>
    <t>December</t>
  </si>
  <si>
    <t>Kigali</t>
  </si>
  <si>
    <t>Wholesale</t>
  </si>
  <si>
    <t>Mobile Money</t>
  </si>
  <si>
    <t>October</t>
  </si>
  <si>
    <t>April</t>
  </si>
  <si>
    <t>Huye</t>
  </si>
  <si>
    <t>Retail</t>
  </si>
  <si>
    <t>Cash</t>
  </si>
  <si>
    <t>P007</t>
  </si>
  <si>
    <t>Notebook</t>
  </si>
  <si>
    <t>Stationery</t>
  </si>
  <si>
    <t>Rubavu</t>
  </si>
  <si>
    <t>Card</t>
  </si>
  <si>
    <t>May</t>
  </si>
  <si>
    <t>August</t>
  </si>
  <si>
    <t>P002</t>
  </si>
  <si>
    <t>Smartphone</t>
  </si>
  <si>
    <t>November</t>
  </si>
  <si>
    <t>June</t>
  </si>
  <si>
    <t>P004</t>
  </si>
  <si>
    <t>Chair</t>
  </si>
  <si>
    <t>Furniture</t>
  </si>
  <si>
    <t>September</t>
  </si>
  <si>
    <t>P008</t>
  </si>
  <si>
    <t>Pen</t>
  </si>
  <si>
    <t>February</t>
  </si>
  <si>
    <t>March</t>
  </si>
  <si>
    <t>Musanze</t>
  </si>
  <si>
    <t>P003</t>
  </si>
  <si>
    <t>Desk</t>
  </si>
  <si>
    <t>P001</t>
  </si>
  <si>
    <t>Laptop</t>
  </si>
  <si>
    <t>P005</t>
  </si>
  <si>
    <t>Printer</t>
  </si>
  <si>
    <t>Office</t>
  </si>
  <si>
    <t>July</t>
  </si>
  <si>
    <t>January</t>
  </si>
  <si>
    <t>Rusizi</t>
  </si>
  <si>
    <t>Employee ID</t>
  </si>
  <si>
    <t>Gender</t>
  </si>
  <si>
    <t>Age Group</t>
  </si>
  <si>
    <t>Job Category</t>
  </si>
  <si>
    <t>Employment Status</t>
  </si>
  <si>
    <t>Department</t>
  </si>
  <si>
    <t>Salary Range</t>
  </si>
  <si>
    <t>E001</t>
  </si>
  <si>
    <t>Male</t>
  </si>
  <si>
    <t>36-45</t>
  </si>
  <si>
    <t>Intern</t>
  </si>
  <si>
    <t>Active</t>
  </si>
  <si>
    <t>HR</t>
  </si>
  <si>
    <t>1M+</t>
  </si>
  <si>
    <t>E002</t>
  </si>
  <si>
    <t>Developer</t>
  </si>
  <si>
    <t>Marketing</t>
  </si>
  <si>
    <t>400K-700K</t>
  </si>
  <si>
    <t>E003</t>
  </si>
  <si>
    <t>Manager</t>
  </si>
  <si>
    <t>Resigned</t>
  </si>
  <si>
    <t>Finance</t>
  </si>
  <si>
    <t>200K-400K</t>
  </si>
  <si>
    <t>E004</t>
  </si>
  <si>
    <t>18-25</t>
  </si>
  <si>
    <t>Support</t>
  </si>
  <si>
    <t>E005</t>
  </si>
  <si>
    <t>26-35</t>
  </si>
  <si>
    <t>700K-1M</t>
  </si>
  <si>
    <t>E006</t>
  </si>
  <si>
    <t>Female</t>
  </si>
  <si>
    <t>46-60</t>
  </si>
  <si>
    <t>IT</t>
  </si>
  <si>
    <t>E007</t>
  </si>
  <si>
    <t>Analyst</t>
  </si>
  <si>
    <t>Operations</t>
  </si>
  <si>
    <t>E008</t>
  </si>
  <si>
    <t>E009</t>
  </si>
  <si>
    <t>E010</t>
  </si>
  <si>
    <t>E011</t>
  </si>
  <si>
    <t>E012</t>
  </si>
  <si>
    <t>E013</t>
  </si>
  <si>
    <t>E014</t>
  </si>
  <si>
    <t>Contract</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</si>
  <si>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</si>
  <si>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</si>
  <si>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</si>
  <si>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</si>
  <si>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</si>
  <si>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</si>
  <si>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</si>
  <si>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</si>
  <si>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</si>
  <si>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</si>
  <si>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</si>
  <si>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</si>
  <si>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</si>
  <si>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</si>
  <si>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</si>
  <si>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</si>
  <si>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</si>
  <si>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</si>
  <si>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</si>
  <si>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</si>
  <si>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</si>
  <si>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</si>
  <si>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</si>
  <si>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</si>
  <si>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</si>
  <si>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</si>
  <si>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</si>
  <si>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</si>
  <si>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</si>
  <si>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</si>
  <si>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</si>
  <si>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</si>
  <si>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</si>
  <si>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</si>
  <si>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</si>
  <si>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</si>
  <si>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</si>
  <si>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</si>
  <si>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</si>
  <si>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</si>
  <si>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</si>
  <si>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</si>
  <si>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</si>
  <si>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</si>
  <si>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</si>
  <si>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</si>
  <si>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</si>
  <si>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</si>
  <si>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</si>
  <si>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</si>
  <si>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</si>
  <si>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</si>
  <si>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</si>
  <si>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</si>
  <si>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</si>
  <si>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</si>
  <si>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</si>
  <si>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</si>
  <si>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</si>
  <si>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</si>
  <si>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</si>
  <si>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</si>
  <si>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</si>
  <si>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</si>
  <si>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</si>
  <si>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</si>
  <si>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</si>
  <si>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</si>
  <si>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</si>
  <si>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</si>
  <si>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</si>
  <si>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</si>
  <si>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</si>
  <si>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</si>
  <si>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</si>
  <si>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</si>
  <si>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</si>
  <si>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</si>
  <si>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</si>
  <si>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</si>
  <si>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</si>
  <si>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</si>
  <si>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</si>
  <si>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</si>
  <si>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</si>
  <si>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</si>
  <si>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</si>
  <si>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</si>
  <si>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</si>
  <si>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</si>
  <si>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</si>
  <si>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</si>
  <si>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</si>
  <si>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</si>
  <si>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</si>
  <si>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</si>
  <si>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</si>
  <si>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</si>
  <si>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</si>
  <si>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</si>
  <si>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</si>
  <si>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</si>
  <si>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</si>
  <si>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</si>
  <si>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</si>
  <si>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</si>
  <si>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Row Labels</t>
  </si>
  <si>
    <t>Grand Total</t>
  </si>
  <si>
    <t>Column1</t>
  </si>
  <si>
    <t>Total Sales</t>
  </si>
  <si>
    <t>Sum of Total Sales</t>
  </si>
  <si>
    <t>Sum of Total Profit</t>
  </si>
  <si>
    <t>Sum of Year</t>
  </si>
  <si>
    <t>Sum of Profit Percentage</t>
  </si>
  <si>
    <t>No.Customers/Mobile Money</t>
  </si>
  <si>
    <t>No.Customers/Cash</t>
  </si>
  <si>
    <t>No.Customers/Wholesale</t>
  </si>
  <si>
    <t>No.Customers/Retail</t>
  </si>
  <si>
    <t>No.customers/Card</t>
  </si>
  <si>
    <t>Sum of No.Customers/Wholesale</t>
  </si>
  <si>
    <t>Sum of No.Customers/Retail</t>
  </si>
  <si>
    <t>Sum of No.Customers/Mobile Money</t>
  </si>
  <si>
    <t>Sum of No.Customers/Cash</t>
  </si>
  <si>
    <t>Sum of No.customers/Card</t>
  </si>
  <si>
    <t xml:space="preserve">Printer </t>
  </si>
  <si>
    <t>Max</t>
  </si>
  <si>
    <t>Count of Department</t>
  </si>
  <si>
    <t>Employee Name</t>
  </si>
  <si>
    <t>Aarav Sharma</t>
  </si>
  <si>
    <t>Bella Joseph</t>
  </si>
  <si>
    <t>Chris Muire</t>
  </si>
  <si>
    <t>Diane Uwera</t>
  </si>
  <si>
    <t>Emmanuel Ndajizeye</t>
  </si>
  <si>
    <t>Faith Nyiransanana</t>
  </si>
  <si>
    <t>Gaspard Rukundo</t>
  </si>
  <si>
    <t>Hannah Mukamama</t>
  </si>
  <si>
    <t>Ishimwe Patrick</t>
  </si>
  <si>
    <t>Janet Uwase</t>
  </si>
  <si>
    <t>Kevin Niyonizima</t>
  </si>
  <si>
    <t>Leah Ingabire</t>
  </si>
  <si>
    <t>Michael Habimana</t>
  </si>
  <si>
    <t>Naomi Umutesi</t>
  </si>
  <si>
    <t>Olivier Nkurunziza</t>
  </si>
  <si>
    <t>Patrick Mukarugwiza</t>
  </si>
  <si>
    <t>Quentin Bizimana</t>
  </si>
  <si>
    <t>Raissa Gahongayire</t>
  </si>
  <si>
    <t>Samuel Hategekimana</t>
  </si>
  <si>
    <t>Teta Iradukunda</t>
  </si>
  <si>
    <t>Umutoni Claudine</t>
  </si>
  <si>
    <t>Vianney Hakizimana</t>
  </si>
  <si>
    <t>Wendy Nyirasafari</t>
  </si>
  <si>
    <t>Yves Mugabo</t>
  </si>
  <si>
    <t>Alice Nyirabasitsi</t>
  </si>
  <si>
    <t>Bruce Nizeyimana</t>
  </si>
  <si>
    <t>Carine Mukeshimana</t>
  </si>
  <si>
    <t>David Nsabimana</t>
  </si>
  <si>
    <t>Evelyne Uwimana</t>
  </si>
  <si>
    <t>Frank Nahuti</t>
  </si>
  <si>
    <t>Gabriella Mukandayisenga</t>
  </si>
  <si>
    <t>Herve Ngarambe</t>
  </si>
  <si>
    <t>Irakóze Sandrine</t>
  </si>
  <si>
    <t>Jean Claude Nshirimbimana</t>
  </si>
  <si>
    <t>Josiane Mukasine</t>
  </si>
  <si>
    <t>Kenny Ndayisaba</t>
  </si>
  <si>
    <t>Lydia Nyirababarewa</t>
  </si>
  <si>
    <t>Manzi Theogene</t>
  </si>
  <si>
    <t>Nadine Imanibazayo</t>
  </si>
  <si>
    <t>Oscar Nkundineza</t>
  </si>
  <si>
    <t>Patience Muhawimenama</t>
  </si>
  <si>
    <t>Pierre Habiyakare</t>
  </si>
  <si>
    <t>Queen Nyinawumuntu</t>
  </si>
  <si>
    <t>Ruben Mugisha</t>
  </si>
  <si>
    <t>Solange Uwizeye</t>
  </si>
  <si>
    <t>Thierry Uwigeze</t>
  </si>
  <si>
    <t>Umuhire Jeanne</t>
  </si>
  <si>
    <t>Valens Ntirenganya</t>
  </si>
  <si>
    <t>Willy Niyonkuru</t>
  </si>
  <si>
    <t>Yvonne Mukeshimana</t>
  </si>
  <si>
    <t>Alain Ruyitayire</t>
  </si>
  <si>
    <t>Beatrice Nyiranshutsi</t>
  </si>
  <si>
    <t>Cedric Irakóze</t>
  </si>
  <si>
    <t>Dancille Uwiyeyimana</t>
  </si>
  <si>
    <t>Emile Niyibizi</t>
  </si>
  <si>
    <t>Frida Mukamusoni</t>
  </si>
  <si>
    <t>Guillaume Nshiyimana</t>
  </si>
  <si>
    <t>Hope Uwize</t>
  </si>
  <si>
    <t>Isaac Muneza</t>
  </si>
  <si>
    <t>Jackline Nyirambagiza</t>
  </si>
  <si>
    <t>:------------</t>
  </si>
  <si>
    <t>Kevin Manirakiza</t>
  </si>
  <si>
    <t>Linda Mukamuriza</t>
  </si>
  <si>
    <t>Marc Ndayambaje</t>
  </si>
  <si>
    <t>Nelly Uwimahoro</t>
  </si>
  <si>
    <t>Olivier Karake</t>
  </si>
  <si>
    <t>Paul Nyirakibibi</t>
  </si>
  <si>
    <t>Ricky Iyamuremye</t>
  </si>
  <si>
    <t>Salome Nyiramana</t>
  </si>
  <si>
    <t>Theodore Nizeyimana</t>
  </si>
  <si>
    <t>Uwoera Claudette</t>
  </si>
  <si>
    <t>Victor Ndayishimiye</t>
  </si>
  <si>
    <t>Wendy Ishimwe</t>
  </si>
  <si>
    <t>Yannick Kubwimana</t>
  </si>
  <si>
    <t>Zoe Uwingabire</t>
  </si>
  <si>
    <t>Andre Nkurikiye</t>
  </si>
  <si>
    <t>Brenda Nshimiye</t>
  </si>
  <si>
    <t>Christian Mugabo</t>
  </si>
  <si>
    <t>Diane Nyiringango</t>
  </si>
  <si>
    <t>Emery Ntaktirimana</t>
  </si>
  <si>
    <t>Fiona Mukagemana</t>
  </si>
  <si>
    <t>Girish Niyitegeka</t>
  </si>
  <si>
    <t>Grace Irumva</t>
  </si>
  <si>
    <t>Hector Niyonsenga</t>
  </si>
  <si>
    <t>Irene Mukandutiye</t>
  </si>
  <si>
    <t>Jean Bosco Nshirimana</t>
  </si>
  <si>
    <t>Kwanda Uwhoreye</t>
  </si>
  <si>
    <t>Lionel Ndarukunda</t>
  </si>
  <si>
    <t>Mireille Kagoya</t>
  </si>
  <si>
    <t>Nathan Nshimyimureremyi</t>
  </si>
  <si>
    <t>Olga Mukaya</t>
  </si>
  <si>
    <t>Patrick Nkurunziza</t>
  </si>
  <si>
    <t>Queeniette Nyirawaibicanye</t>
  </si>
  <si>
    <t>Raphael Uwomaro</t>
  </si>
  <si>
    <t>Sandrine Mukashyaka</t>
  </si>
  <si>
    <t>Timothee Habimana</t>
  </si>
  <si>
    <t>Umutoni Sandrine</t>
  </si>
  <si>
    <t>Valentine Nyirahabimana</t>
  </si>
  <si>
    <t>Wilson Nizeyimana</t>
  </si>
  <si>
    <t>Yvette Nyiransenze</t>
  </si>
  <si>
    <t>Zacharie Nyomwungeri</t>
  </si>
  <si>
    <t>Albert Ndaye</t>
  </si>
  <si>
    <t>Bianca Umuhoza</t>
  </si>
  <si>
    <t>Claude Ndayishimiye</t>
  </si>
  <si>
    <t>Danielle Nyiraniza</t>
  </si>
  <si>
    <t>Emile Niyonzima</t>
  </si>
  <si>
    <t>Gloria Umurungi</t>
  </si>
  <si>
    <t>Hugues Ngenzebuhoro</t>
  </si>
  <si>
    <t>Irene Nkinukira</t>
  </si>
  <si>
    <t>Jeanine Mukasonga</t>
  </si>
  <si>
    <t>Kevin Habararira</t>
  </si>
  <si>
    <t>Linda Uwase</t>
  </si>
  <si>
    <t>Manasseh Nshimirimana</t>
  </si>
  <si>
    <t>Nathalie Niyibisi</t>
  </si>
  <si>
    <t>Oscar Nizeyimana</t>
  </si>
  <si>
    <t>Patricia Nyirashongza</t>
  </si>
  <si>
    <t>Quentin Nkurunziza</t>
  </si>
  <si>
    <t>Ruth Umulisa</t>
  </si>
  <si>
    <t>No.male</t>
  </si>
  <si>
    <t>No.Female</t>
  </si>
  <si>
    <t>Sum of No.male</t>
  </si>
  <si>
    <t>Sum of No.Female</t>
  </si>
  <si>
    <t>No.Managers</t>
  </si>
  <si>
    <t>No.Analysts</t>
  </si>
  <si>
    <t>No.Intern</t>
  </si>
  <si>
    <t>No.Developers</t>
  </si>
  <si>
    <t>No.Supports</t>
  </si>
  <si>
    <t>Sum of No.Managers</t>
  </si>
  <si>
    <t>Sum of No.Analysts</t>
  </si>
  <si>
    <t>Sum of No.Intern</t>
  </si>
  <si>
    <t>Sum of No.Developers</t>
  </si>
  <si>
    <t>Sum of No.Supports</t>
  </si>
  <si>
    <t>Performance Score</t>
  </si>
  <si>
    <t>Performance%</t>
  </si>
  <si>
    <t>Sum of Performance%</t>
  </si>
  <si>
    <t>Performance</t>
  </si>
  <si>
    <t>Salary Range(M+)</t>
  </si>
  <si>
    <t>Salary Range(200K-400K)</t>
  </si>
  <si>
    <t>Salary Range(400K-700K)</t>
  </si>
  <si>
    <t>Salary Range(700K-1M)</t>
  </si>
  <si>
    <t>Sum of Salary Range(200K-400K)</t>
  </si>
  <si>
    <t>Sum of Salary Range(400K-700K)</t>
  </si>
  <si>
    <t>Sum of Salary Range(700K-1M)</t>
  </si>
  <si>
    <t>Sum of Salary Range(M+)</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</si>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</sst>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Calibri"/>
    </font>
    <font>
      <sz val="11"/>
      <color theme="1"/>
      <name val="Calibri"/>
      <family val="2"/>
      <scheme val="minor"/>
    </font>
    <font>
      <b/>
      <sz val="11"/>
      <color rgb="FFFFFFFF"/>
      <name val="Calibri"/>
      <family val="2"/>
    </font>
    <font>
      <sz val="28"/>
      <color rgb="FF9933FF"/>
      <name val="Calibri"/>
      <family val="2"/>
      <scheme val="minor"/>
    </font>
    <font>
      <sz val="11"/>
      <color rgb="FF9933FF"/>
      <name val="Calibri"/>
      <family val="2"/>
      <scheme val="minor"/>
    </font>
    <font>
      <sz val="9"/>
      <color rgb="FF404040"/>
      <name val="Calibri"/>
      <family val="2"/>
      <scheme val="minor"/>
    </font>
    <font>
      <b/>
      <i/>
      <sz val="11"/>
      <color rgb="FFFFFFFF"/>
      <name val="Calibri"/>
      <family val="2"/>
    </font>
    <font>
      <i/>
      <sz val="11"/>
      <color theme="1"/>
      <name val="Calibri"/>
      <family val="2"/>
      <scheme val="minor"/>
    </font>
    <font>
      <sz val="8"/>
      <name val="Calibri"/>
      <family val="2"/>
      <scheme val="minor"/>
    </font>
  </fonts>
  <fills count="7">
    <fill>
      <patternFill patternType="none"/>
    </fill>
    <fill>
      <patternFill patternType="gray125"/>
    </fill>
    <fill>
      <patternFill patternType="solid">
        <fgColor rgb="FF4472C4"/>
      </patternFill>
    </fill>
    <fill>
      <patternFill patternType="solid">
        <fgColor rgb="FF70AD47"/>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00B050"/>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9" fontId="2" fillId="0" borderId="0" applyFont="0" applyFill="0" applyBorder="0" applyAlignment="0" applyProtection="0"/>
  </cellStyleXfs>
  <cellXfs count="27">
    <xf numFmtId="0" fontId="0" fillId="0" borderId="0" xfId="0"/>
    <xf numFmtId="0" fontId="1" fillId="2" borderId="0" xfId="0" applyFont="1" applyFill="1"/>
    <xf numFmtId="0" fontId="1" fillId="3" borderId="0" xfId="0" applyFont="1" applyFill="1"/>
    <xf numFmtId="0" fontId="0" fillId="4" borderId="1" xfId="0" applyFont="1" applyFill="1" applyBorder="1"/>
    <xf numFmtId="0" fontId="0" fillId="5" borderId="1" xfId="0" applyFont="1" applyFill="1" applyBorder="1"/>
    <xf numFmtId="0" fontId="0" fillId="5" borderId="2" xfId="0" applyFont="1" applyFill="1" applyBorder="1"/>
    <xf numFmtId="0" fontId="0" fillId="0" borderId="0" xfId="0" pivotButton="1"/>
    <xf numFmtId="0" fontId="0" fillId="0" borderId="0" xfId="0" applyAlignment="1">
      <alignment horizontal="left"/>
    </xf>
    <xf numFmtId="0" fontId="3" fillId="2" borderId="0" xfId="0" applyFont="1" applyFill="1"/>
    <xf numFmtId="0" fontId="0" fillId="0" borderId="0" xfId="0" applyNumberFormat="1"/>
    <xf numFmtId="0" fontId="0" fillId="0" borderId="0" xfId="0" applyAlignment="1">
      <alignment horizontal="left" indent="1"/>
    </xf>
    <xf numFmtId="0" fontId="4" fillId="0" borderId="0" xfId="0" applyFont="1"/>
    <xf numFmtId="0" fontId="5" fillId="0" borderId="0" xfId="0" applyFont="1"/>
    <xf numFmtId="0" fontId="6" fillId="0" borderId="0" xfId="0" applyFont="1" applyAlignment="1">
      <alignment horizontal="center" vertical="center" readingOrder="1"/>
    </xf>
    <xf numFmtId="0" fontId="7" fillId="3" borderId="0" xfId="0" applyFont="1" applyFill="1"/>
    <xf numFmtId="0" fontId="8" fillId="0" borderId="0" xfId="0" applyFont="1"/>
    <xf numFmtId="0" fontId="8"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6" borderId="0" xfId="0" applyFill="1"/>
    <xf numFmtId="0" fontId="0" fillId="0" borderId="0" xfId="0" applyAlignment="1">
      <alignment vertical="center" wrapText="1"/>
    </xf>
    <xf numFmtId="10" fontId="0" fillId="0" borderId="0" xfId="0" applyNumberFormat="1"/>
    <xf numFmtId="0" fontId="0" fillId="6" borderId="0" xfId="1" applyNumberFormat="1" applyFont="1" applyFill="1"/>
    <xf numFmtId="0" fontId="0" fillId="0" borderId="0" xfId="1" applyNumberFormat="1" applyFont="1"/>
    <xf numFmtId="0" fontId="0" fillId="4" borderId="1" xfId="0" applyFont="1" applyFill="1" applyBorder="1" applyAlignment="1">
      <alignment vertical="center" wrapText="1"/>
    </xf>
    <xf numFmtId="0" fontId="0" fillId="5" borderId="1" xfId="0" applyFont="1" applyFill="1" applyBorder="1" applyAlignment="1">
      <alignment vertical="center" wrapText="1"/>
    </xf>
    <xf numFmtId="0" fontId="0" fillId="5" borderId="2" xfId="0" applyFont="1" applyFill="1" applyBorder="1" applyAlignment="1">
      <alignment vertical="center" wrapText="1"/>
    </xf>
  </cellXfs>
  <cellStyles count="2">
    <cellStyle name="Normal" xfId="0" builtinId="0"/>
    <cellStyle name="Percent" xfId="1" builtinId="5"/>
  </cellStyles>
  <dxfs count="13">
    <dxf>
      <numFmt numFmtId="14" formatCode="0.0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center" textRotation="0" wrapText="1"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numFmt numFmtId="0" formatCode="General"/>
    </dxf>
    <dxf>
      <font>
        <b val="0"/>
        <i/>
        <strike val="0"/>
        <condense val="0"/>
        <extend val="0"/>
        <outline val="0"/>
        <shadow val="0"/>
        <u val="none"/>
        <vertAlign val="baseline"/>
        <sz val="11"/>
        <color theme="1"/>
        <name val="Calibri"/>
        <family val="2"/>
        <scheme val="minor"/>
      </font>
    </dxf>
    <dxf>
      <font>
        <i/>
        <family val="2"/>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dxf>
    <dxf>
      <numFmt numFmtId="0" formatCode="General"/>
    </dxf>
  </dxfs>
  <tableStyles count="0" defaultTableStyle="TableStyleMedium9" defaultPivotStyle="PivotStyleLight16"/>
  <colors>
    <mruColors>
      <color rgb="FF99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2.xml"/><Relationship Id="rId39" Type="http://schemas.openxmlformats.org/officeDocument/2006/relationships/sharedStrings" Target="sharedStrings.xml"/><Relationship Id="rId21" Type="http://schemas.openxmlformats.org/officeDocument/2006/relationships/pivotCacheDefinition" Target="pivotCache/pivotCacheDefinition4.xml"/><Relationship Id="rId34" Type="http://schemas.microsoft.com/office/2007/relationships/slicerCache" Target="slicerCaches/slicerCache10.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07/relationships/slicerCache" Target="slicerCaches/slicerCache8.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07/relationships/slicerCache" Target="slicerCaches/slicerCache4.xml"/><Relationship Id="rId36" Type="http://schemas.microsoft.com/office/2007/relationships/slicerCache" Target="slicerCaches/slicerCache1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3.xml"/><Relationship Id="rId30" Type="http://schemas.microsoft.com/office/2007/relationships/slicerCache" Target="slicerCaches/slicerCache6.xml"/><Relationship Id="rId35" Type="http://schemas.microsoft.com/office/2007/relationships/slicerCache" Target="slicerCaches/slicerCache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[Patrick_Assignment_Data_Analytics.xlsx]Total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Sales'!$B$3</c:f>
              <c:strCache>
                <c:ptCount val="1"/>
                <c:pt idx="0">
                  <c:v>Total</c:v>
                </c:pt>
              </c:strCache>
            </c:strRef>
          </c:tx>
          <c:spPr>
            <a:solidFill>
              <a:schemeClr val="accent1"/>
            </a:solidFill>
            <a:ln>
              <a:noFill/>
            </a:ln>
            <a:effectLst/>
          </c:spPr>
          <c:invertIfNegative val="0"/>
          <c:cat>
            <c:strRef>
              <c:f>'Total Sales'!$A$4:$A$12</c:f>
              <c:strCache>
                <c:ptCount val="8"/>
                <c:pt idx="0">
                  <c:v>Chair</c:v>
                </c:pt>
                <c:pt idx="1">
                  <c:v>Desk</c:v>
                </c:pt>
                <c:pt idx="2">
                  <c:v>Laptop</c:v>
                </c:pt>
                <c:pt idx="3">
                  <c:v>Monitor</c:v>
                </c:pt>
                <c:pt idx="4">
                  <c:v>Notebook</c:v>
                </c:pt>
                <c:pt idx="5">
                  <c:v>Pen</c:v>
                </c:pt>
                <c:pt idx="6">
                  <c:v>Printer</c:v>
                </c:pt>
                <c:pt idx="7">
                  <c:v>Smartphone</c:v>
                </c:pt>
              </c:strCache>
            </c:strRef>
          </c:cat>
          <c:val>
            <c:numRef>
              <c:f>'Total Sales'!$B$4:$B$12</c:f>
              <c:numCache>
                <c:formatCode>General</c:formatCode>
                <c:ptCount val="8"/>
                <c:pt idx="0">
                  <c:v>228454475</c:v>
                </c:pt>
                <c:pt idx="1">
                  <c:v>364701617</c:v>
                </c:pt>
                <c:pt idx="2">
                  <c:v>321635033</c:v>
                </c:pt>
                <c:pt idx="3">
                  <c:v>368050737</c:v>
                </c:pt>
                <c:pt idx="4">
                  <c:v>376056234</c:v>
                </c:pt>
                <c:pt idx="5">
                  <c:v>219335480</c:v>
                </c:pt>
                <c:pt idx="6">
                  <c:v>290649159</c:v>
                </c:pt>
                <c:pt idx="7">
                  <c:v>327542633</c:v>
                </c:pt>
              </c:numCache>
            </c:numRef>
          </c:val>
          <c:extLst>
            <c:ext xmlns:c16="http://schemas.microsoft.com/office/drawing/2014/chart" uri="{C3380CC4-5D6E-409C-BE32-E72D297353CC}">
              <c16:uniqueId val="{00000000-B301-4BEF-9A37-CCED830E4EEE}"/>
            </c:ext>
          </c:extLst>
        </c:ser>
        <c:dLbls>
          <c:showLegendKey val="0"/>
          <c:showVal val="0"/>
          <c:showCatName val="0"/>
          <c:showSerName val="0"/>
          <c:showPercent val="0"/>
          <c:showBubbleSize val="0"/>
        </c:dLbls>
        <c:gapWidth val="219"/>
        <c:overlap val="-27"/>
        <c:axId val="1044873216"/>
        <c:axId val="1044877536"/>
      </c:barChart>
      <c:catAx>
        <c:axId val="104487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877536"/>
        <c:crosses val="autoZero"/>
        <c:auto val="1"/>
        <c:lblAlgn val="ctr"/>
        <c:lblOffset val="100"/>
        <c:noMultiLvlLbl val="0"/>
      </c:catAx>
      <c:valAx>
        <c:axId val="1044877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87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[Patrick_Assignment_Data_Analytics.xlsx]Customer Trends!PivotTable12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Trends'!$A$3</c:f>
              <c:strCache>
                <c:ptCount val="1"/>
                <c:pt idx="0">
                  <c:v>Sum of No.Customers/Wholesale</c:v>
                </c:pt>
              </c:strCache>
            </c:strRef>
          </c:tx>
          <c:spPr>
            <a:solidFill>
              <a:schemeClr val="accent1"/>
            </a:solidFill>
            <a:ln>
              <a:noFill/>
            </a:ln>
            <a:effectLst/>
          </c:spPr>
          <c:invertIfNegative val="0"/>
          <c:cat>
            <c:strRef>
              <c:f>'Customer Trends'!$A$4</c:f>
              <c:strCache>
                <c:ptCount val="1"/>
                <c:pt idx="0">
                  <c:v>Total</c:v>
                </c:pt>
              </c:strCache>
            </c:strRef>
          </c:cat>
          <c:val>
            <c:numRef>
              <c:f>'Customer Trends'!$A$4</c:f>
              <c:numCache>
                <c:formatCode>General</c:formatCode>
                <c:ptCount val="1"/>
                <c:pt idx="0">
                  <c:v>63</c:v>
                </c:pt>
              </c:numCache>
            </c:numRef>
          </c:val>
          <c:extLst>
            <c:ext xmlns:c16="http://schemas.microsoft.com/office/drawing/2014/chart" uri="{C3380CC4-5D6E-409C-BE32-E72D297353CC}">
              <c16:uniqueId val="{00000000-5BAC-4242-9C62-984D3B91F754}"/>
            </c:ext>
          </c:extLst>
        </c:ser>
        <c:ser>
          <c:idx val="1"/>
          <c:order val="1"/>
          <c:tx>
            <c:strRef>
              <c:f>'Customer Trends'!$B$3</c:f>
              <c:strCache>
                <c:ptCount val="1"/>
                <c:pt idx="0">
                  <c:v>Sum of No.Customers/Retail</c:v>
                </c:pt>
              </c:strCache>
            </c:strRef>
          </c:tx>
          <c:spPr>
            <a:solidFill>
              <a:schemeClr val="accent2"/>
            </a:solidFill>
            <a:ln>
              <a:noFill/>
            </a:ln>
            <a:effectLst/>
          </c:spPr>
          <c:invertIfNegative val="0"/>
          <c:cat>
            <c:strRef>
              <c:f>'Customer Trends'!$A$4</c:f>
              <c:strCache>
                <c:ptCount val="1"/>
                <c:pt idx="0">
                  <c:v>Total</c:v>
                </c:pt>
              </c:strCache>
            </c:strRef>
          </c:cat>
          <c:val>
            <c:numRef>
              <c:f>'Customer Trends'!$B$4</c:f>
              <c:numCache>
                <c:formatCode>General</c:formatCode>
                <c:ptCount val="1"/>
                <c:pt idx="0">
                  <c:v>57</c:v>
                </c:pt>
              </c:numCache>
            </c:numRef>
          </c:val>
          <c:extLst>
            <c:ext xmlns:c16="http://schemas.microsoft.com/office/drawing/2014/chart" uri="{C3380CC4-5D6E-409C-BE32-E72D297353CC}">
              <c16:uniqueId val="{00000001-5BAC-4242-9C62-984D3B91F754}"/>
            </c:ext>
          </c:extLst>
        </c:ser>
        <c:ser>
          <c:idx val="2"/>
          <c:order val="2"/>
          <c:tx>
            <c:strRef>
              <c:f>'Customer Trends'!$C$3</c:f>
              <c:strCache>
                <c:ptCount val="1"/>
                <c:pt idx="0">
                  <c:v>Sum of No.Customers/Mobile Money</c:v>
                </c:pt>
              </c:strCache>
            </c:strRef>
          </c:tx>
          <c:spPr>
            <a:solidFill>
              <a:schemeClr val="accent3"/>
            </a:solidFill>
            <a:ln>
              <a:noFill/>
            </a:ln>
            <a:effectLst/>
          </c:spPr>
          <c:invertIfNegative val="0"/>
          <c:cat>
            <c:strRef>
              <c:f>'Customer Trends'!$A$4</c:f>
              <c:strCache>
                <c:ptCount val="1"/>
                <c:pt idx="0">
                  <c:v>Total</c:v>
                </c:pt>
              </c:strCache>
            </c:strRef>
          </c:cat>
          <c:val>
            <c:numRef>
              <c:f>'Customer Trends'!$C$4</c:f>
              <c:numCache>
                <c:formatCode>General</c:formatCode>
                <c:ptCount val="1"/>
                <c:pt idx="0">
                  <c:v>44</c:v>
                </c:pt>
              </c:numCache>
            </c:numRef>
          </c:val>
          <c:extLst>
            <c:ext xmlns:c16="http://schemas.microsoft.com/office/drawing/2014/chart" uri="{C3380CC4-5D6E-409C-BE32-E72D297353CC}">
              <c16:uniqueId val="{00000002-5BAC-4242-9C62-984D3B91F754}"/>
            </c:ext>
          </c:extLst>
        </c:ser>
        <c:ser>
          <c:idx val="3"/>
          <c:order val="3"/>
          <c:tx>
            <c:strRef>
              <c:f>'Customer Trends'!$D$3</c:f>
              <c:strCache>
                <c:ptCount val="1"/>
                <c:pt idx="0">
                  <c:v>Sum of No.Customers/Cash</c:v>
                </c:pt>
              </c:strCache>
            </c:strRef>
          </c:tx>
          <c:spPr>
            <a:solidFill>
              <a:schemeClr val="accent4"/>
            </a:solidFill>
            <a:ln>
              <a:noFill/>
            </a:ln>
            <a:effectLst/>
          </c:spPr>
          <c:invertIfNegative val="0"/>
          <c:cat>
            <c:strRef>
              <c:f>'Customer Trends'!$A$4</c:f>
              <c:strCache>
                <c:ptCount val="1"/>
                <c:pt idx="0">
                  <c:v>Total</c:v>
                </c:pt>
              </c:strCache>
            </c:strRef>
          </c:cat>
          <c:val>
            <c:numRef>
              <c:f>'Customer Trends'!$D$4</c:f>
              <c:numCache>
                <c:formatCode>General</c:formatCode>
                <c:ptCount val="1"/>
                <c:pt idx="0">
                  <c:v>48</c:v>
                </c:pt>
              </c:numCache>
            </c:numRef>
          </c:val>
          <c:extLst>
            <c:ext xmlns:c16="http://schemas.microsoft.com/office/drawing/2014/chart" uri="{C3380CC4-5D6E-409C-BE32-E72D297353CC}">
              <c16:uniqueId val="{00000003-5BAC-4242-9C62-984D3B91F754}"/>
            </c:ext>
          </c:extLst>
        </c:ser>
        <c:ser>
          <c:idx val="4"/>
          <c:order val="4"/>
          <c:tx>
            <c:strRef>
              <c:f>'Customer Trends'!$E$3</c:f>
              <c:strCache>
                <c:ptCount val="1"/>
                <c:pt idx="0">
                  <c:v>Sum of No.customers/Card</c:v>
                </c:pt>
              </c:strCache>
            </c:strRef>
          </c:tx>
          <c:spPr>
            <a:solidFill>
              <a:schemeClr val="accent5"/>
            </a:solidFill>
            <a:ln>
              <a:noFill/>
            </a:ln>
            <a:effectLst/>
          </c:spPr>
          <c:invertIfNegative val="0"/>
          <c:cat>
            <c:strRef>
              <c:f>'Customer Trends'!$A$4</c:f>
              <c:strCache>
                <c:ptCount val="1"/>
                <c:pt idx="0">
                  <c:v>Total</c:v>
                </c:pt>
              </c:strCache>
            </c:strRef>
          </c:cat>
          <c:val>
            <c:numRef>
              <c:f>'Customer Trends'!$E$4</c:f>
              <c:numCache>
                <c:formatCode>General</c:formatCode>
                <c:ptCount val="1"/>
                <c:pt idx="0">
                  <c:v>28</c:v>
                </c:pt>
              </c:numCache>
            </c:numRef>
          </c:val>
          <c:extLst>
            <c:ext xmlns:c16="http://schemas.microsoft.com/office/drawing/2014/chart" uri="{C3380CC4-5D6E-409C-BE32-E72D297353CC}">
              <c16:uniqueId val="{00000004-5BAC-4242-9C62-984D3B91F754}"/>
            </c:ext>
          </c:extLst>
        </c:ser>
        <c:dLbls>
          <c:showLegendKey val="0"/>
          <c:showVal val="0"/>
          <c:showCatName val="0"/>
          <c:showSerName val="0"/>
          <c:showPercent val="0"/>
          <c:showBubbleSize val="0"/>
        </c:dLbls>
        <c:gapWidth val="219"/>
        <c:overlap val="-27"/>
        <c:axId val="1667949088"/>
        <c:axId val="1667953888"/>
      </c:barChart>
      <c:catAx>
        <c:axId val="16679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53888"/>
        <c:crosses val="autoZero"/>
        <c:auto val="1"/>
        <c:lblAlgn val="ctr"/>
        <c:lblOffset val="100"/>
        <c:noMultiLvlLbl val="0"/>
      </c:catAx>
      <c:valAx>
        <c:axId val="166795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4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[Patrick_Assignment_Data_Analytics.xlsx]Total Profit vs Product!PivotTable5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vs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'Total Profit vs Product'!$B$3</c:f>
              <c:strCache>
                <c:ptCount val="1"/>
                <c:pt idx="0">
                  <c:v>Total</c:v>
                </c:pt>
              </c:strCache>
            </c:strRef>
          </c:tx>
          <c:spPr>
            <a:solidFill>
              <a:schemeClr val="accent1"/>
            </a:solidFill>
            <a:ln>
              <a:noFill/>
            </a:ln>
            <a:effectLst/>
          </c:spPr>
          <c:invertIfNegative val="0"/>
          <c:cat>
            <c:strRef>
              <c:f>'Total Profit vs Product'!$A$4:$A$12</c:f>
              <c:strCache>
                <c:ptCount val="8"/>
                <c:pt idx="0">
                  <c:v>Chair</c:v>
                </c:pt>
                <c:pt idx="1">
                  <c:v>Desk</c:v>
                </c:pt>
                <c:pt idx="2">
                  <c:v>Laptop</c:v>
                </c:pt>
                <c:pt idx="3">
                  <c:v>Monitor</c:v>
                </c:pt>
                <c:pt idx="4">
                  <c:v>Notebook</c:v>
                </c:pt>
                <c:pt idx="5">
                  <c:v>Pen</c:v>
                </c:pt>
                <c:pt idx="6">
                  <c:v>Printer</c:v>
                </c:pt>
                <c:pt idx="7">
                  <c:v>Smartphone</c:v>
                </c:pt>
              </c:strCache>
            </c:strRef>
          </c:cat>
          <c:val>
            <c:numRef>
              <c:f>'Total Profit vs Product'!$B$4:$B$12</c:f>
              <c:numCache>
                <c:formatCode>General</c:formatCode>
                <c:ptCount val="8"/>
                <c:pt idx="0">
                  <c:v>1619608.96</c:v>
                </c:pt>
                <c:pt idx="1">
                  <c:v>2285023.9499999997</c:v>
                </c:pt>
                <c:pt idx="2">
                  <c:v>1937883.9200000002</c:v>
                </c:pt>
                <c:pt idx="3">
                  <c:v>2370711.08</c:v>
                </c:pt>
                <c:pt idx="4">
                  <c:v>3125789.3799999994</c:v>
                </c:pt>
                <c:pt idx="5">
                  <c:v>1679239.54</c:v>
                </c:pt>
                <c:pt idx="6">
                  <c:v>1858058.6400000001</c:v>
                </c:pt>
                <c:pt idx="7">
                  <c:v>1811321.79</c:v>
                </c:pt>
              </c:numCache>
            </c:numRef>
          </c:val>
          <c:extLst>
            <c:ext xmlns:c16="http://schemas.microsoft.com/office/drawing/2014/chart" uri="{C3380CC4-5D6E-409C-BE32-E72D297353CC}">
              <c16:uniqueId val="{00000000-8852-47FD-A7F8-D0E22792FE56}"/>
            </c:ext>
          </c:extLst>
        </c:ser>
        <c:dLbls>
          <c:dLblPos val="outEnd"/>
          <c:showLegendKey val="0"/>
          <c:showVal val="0"/>
          <c:showCatName val="0"/>
          <c:showSerName val="0"/>
          <c:showPercent val="0"/>
          <c:showBubbleSize val="0"/>
        </c:dLbls>
        <c:gapWidth val="182"/>
        <c:axId val="1659032352"/>
        <c:axId val="1659024672"/>
      </c:barChart>
      <c:catAx>
        <c:axId val="16590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24672"/>
        <c:crosses val="autoZero"/>
        <c:auto val="1"/>
        <c:lblAlgn val="ctr"/>
        <c:lblOffset val="100"/>
        <c:noMultiLvlLbl val="0"/>
      </c:catAx>
      <c:valAx>
        <c:axId val="1659024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3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[Patrick_Assignment_Data_Analytics.xlsx]Sales vs Years!PivotTable6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Years'!$B$3</c:f>
              <c:strCache>
                <c:ptCount val="1"/>
                <c:pt idx="0">
                  <c:v>Sum of Year</c:v>
                </c:pt>
              </c:strCache>
            </c:strRef>
          </c:tx>
          <c:spPr>
            <a:solidFill>
              <a:schemeClr val="accent1"/>
            </a:solidFill>
            <a:ln>
              <a:noFill/>
            </a:ln>
            <a:effectLst/>
          </c:spPr>
          <c:invertIfNegative val="0"/>
          <c:cat>
            <c:multiLvlStrRef>
              <c:f>'Sales vs Years'!$A$4:$A$36</c:f>
              <c:multiLvlStrCache>
                <c:ptCount val="24"/>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lvl>
                <c:lvl>
                  <c:pt idx="0">
                    <c:v>Chair</c:v>
                  </c:pt>
                  <c:pt idx="3">
                    <c:v>Desk</c:v>
                  </c:pt>
                  <c:pt idx="6">
                    <c:v>Laptop</c:v>
                  </c:pt>
                  <c:pt idx="9">
                    <c:v>Monitor</c:v>
                  </c:pt>
                  <c:pt idx="12">
                    <c:v>Notebook</c:v>
                  </c:pt>
                  <c:pt idx="15">
                    <c:v>Pen</c:v>
                  </c:pt>
                  <c:pt idx="18">
                    <c:v>Printer</c:v>
                  </c:pt>
                  <c:pt idx="21">
                    <c:v>Smartphone</c:v>
                  </c:pt>
                </c:lvl>
              </c:multiLvlStrCache>
            </c:multiLvlStrRef>
          </c:cat>
          <c:val>
            <c:numRef>
              <c:f>'Sales vs Years'!$B$4:$B$36</c:f>
              <c:numCache>
                <c:formatCode>General</c:formatCode>
                <c:ptCount val="24"/>
                <c:pt idx="0">
                  <c:v>8092</c:v>
                </c:pt>
                <c:pt idx="1">
                  <c:v>6072</c:v>
                </c:pt>
                <c:pt idx="2">
                  <c:v>12150</c:v>
                </c:pt>
                <c:pt idx="3">
                  <c:v>8092</c:v>
                </c:pt>
                <c:pt idx="4">
                  <c:v>4048</c:v>
                </c:pt>
                <c:pt idx="5">
                  <c:v>16200</c:v>
                </c:pt>
                <c:pt idx="6">
                  <c:v>14161</c:v>
                </c:pt>
                <c:pt idx="7">
                  <c:v>8096</c:v>
                </c:pt>
                <c:pt idx="8">
                  <c:v>12150</c:v>
                </c:pt>
                <c:pt idx="9">
                  <c:v>8092</c:v>
                </c:pt>
                <c:pt idx="10">
                  <c:v>12144</c:v>
                </c:pt>
                <c:pt idx="11">
                  <c:v>12150</c:v>
                </c:pt>
                <c:pt idx="12">
                  <c:v>8092</c:v>
                </c:pt>
                <c:pt idx="13">
                  <c:v>20240</c:v>
                </c:pt>
                <c:pt idx="14">
                  <c:v>8100</c:v>
                </c:pt>
                <c:pt idx="15">
                  <c:v>6069</c:v>
                </c:pt>
                <c:pt idx="16">
                  <c:v>12144</c:v>
                </c:pt>
                <c:pt idx="17">
                  <c:v>4050</c:v>
                </c:pt>
                <c:pt idx="18">
                  <c:v>20230</c:v>
                </c:pt>
                <c:pt idx="19">
                  <c:v>2024</c:v>
                </c:pt>
                <c:pt idx="20">
                  <c:v>8100</c:v>
                </c:pt>
                <c:pt idx="21">
                  <c:v>10115</c:v>
                </c:pt>
                <c:pt idx="22">
                  <c:v>10120</c:v>
                </c:pt>
                <c:pt idx="23">
                  <c:v>12150</c:v>
                </c:pt>
              </c:numCache>
            </c:numRef>
          </c:val>
          <c:extLst>
            <c:ext xmlns:c16="http://schemas.microsoft.com/office/drawing/2014/chart" uri="{C3380CC4-5D6E-409C-BE32-E72D297353CC}">
              <c16:uniqueId val="{00000000-B70E-4E66-A530-26E965833B36}"/>
            </c:ext>
          </c:extLst>
        </c:ser>
        <c:ser>
          <c:idx val="1"/>
          <c:order val="1"/>
          <c:tx>
            <c:strRef>
              <c:f>'Sales vs Years'!$C$3</c:f>
              <c:strCache>
                <c:ptCount val="1"/>
                <c:pt idx="0">
                  <c:v>Sum of Total Sales</c:v>
                </c:pt>
              </c:strCache>
            </c:strRef>
          </c:tx>
          <c:spPr>
            <a:solidFill>
              <a:schemeClr val="accent2"/>
            </a:solidFill>
            <a:ln>
              <a:noFill/>
            </a:ln>
            <a:effectLst/>
          </c:spPr>
          <c:invertIfNegative val="0"/>
          <c:cat>
            <c:multiLvlStrRef>
              <c:f>'Sales vs Years'!$A$4:$A$36</c:f>
              <c:multiLvlStrCache>
                <c:ptCount val="24"/>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lvl>
                <c:lvl>
                  <c:pt idx="0">
                    <c:v>Chair</c:v>
                  </c:pt>
                  <c:pt idx="3">
                    <c:v>Desk</c:v>
                  </c:pt>
                  <c:pt idx="6">
                    <c:v>Laptop</c:v>
                  </c:pt>
                  <c:pt idx="9">
                    <c:v>Monitor</c:v>
                  </c:pt>
                  <c:pt idx="12">
                    <c:v>Notebook</c:v>
                  </c:pt>
                  <c:pt idx="15">
                    <c:v>Pen</c:v>
                  </c:pt>
                  <c:pt idx="18">
                    <c:v>Printer</c:v>
                  </c:pt>
                  <c:pt idx="21">
                    <c:v>Smartphone</c:v>
                  </c:pt>
                </c:lvl>
              </c:multiLvlStrCache>
            </c:multiLvlStrRef>
          </c:cat>
          <c:val>
            <c:numRef>
              <c:f>'Sales vs Years'!$C$4:$C$36</c:f>
              <c:numCache>
                <c:formatCode>General</c:formatCode>
                <c:ptCount val="24"/>
                <c:pt idx="0">
                  <c:v>84985033</c:v>
                </c:pt>
                <c:pt idx="1">
                  <c:v>66140670</c:v>
                </c:pt>
                <c:pt idx="2">
                  <c:v>77328772</c:v>
                </c:pt>
                <c:pt idx="3">
                  <c:v>80013767</c:v>
                </c:pt>
                <c:pt idx="4">
                  <c:v>66902714</c:v>
                </c:pt>
                <c:pt idx="5">
                  <c:v>217785136</c:v>
                </c:pt>
                <c:pt idx="6">
                  <c:v>188992764</c:v>
                </c:pt>
                <c:pt idx="7">
                  <c:v>42944871</c:v>
                </c:pt>
                <c:pt idx="8">
                  <c:v>89697398</c:v>
                </c:pt>
                <c:pt idx="9">
                  <c:v>91476086</c:v>
                </c:pt>
                <c:pt idx="10">
                  <c:v>160818623</c:v>
                </c:pt>
                <c:pt idx="11">
                  <c:v>115756028</c:v>
                </c:pt>
                <c:pt idx="12">
                  <c:v>87149030</c:v>
                </c:pt>
                <c:pt idx="13">
                  <c:v>193985598</c:v>
                </c:pt>
                <c:pt idx="14">
                  <c:v>94921606</c:v>
                </c:pt>
                <c:pt idx="15">
                  <c:v>54203325</c:v>
                </c:pt>
                <c:pt idx="16">
                  <c:v>99408627</c:v>
                </c:pt>
                <c:pt idx="17">
                  <c:v>65723528</c:v>
                </c:pt>
                <c:pt idx="18">
                  <c:v>212786312</c:v>
                </c:pt>
                <c:pt idx="19">
                  <c:v>31474400</c:v>
                </c:pt>
                <c:pt idx="20">
                  <c:v>46388447</c:v>
                </c:pt>
                <c:pt idx="21">
                  <c:v>60111120</c:v>
                </c:pt>
                <c:pt idx="22">
                  <c:v>85367599</c:v>
                </c:pt>
                <c:pt idx="23">
                  <c:v>182063914</c:v>
                </c:pt>
              </c:numCache>
            </c:numRef>
          </c:val>
          <c:extLst>
            <c:ext xmlns:c16="http://schemas.microsoft.com/office/drawing/2014/chart" uri="{C3380CC4-5D6E-409C-BE32-E72D297353CC}">
              <c16:uniqueId val="{00000001-B70E-4E66-A530-26E965833B36}"/>
            </c:ext>
          </c:extLst>
        </c:ser>
        <c:dLbls>
          <c:showLegendKey val="0"/>
          <c:showVal val="0"/>
          <c:showCatName val="0"/>
          <c:showSerName val="0"/>
          <c:showPercent val="0"/>
          <c:showBubbleSize val="0"/>
        </c:dLbls>
        <c:gapWidth val="219"/>
        <c:overlap val="-27"/>
        <c:axId val="1659018432"/>
        <c:axId val="1659023232"/>
      </c:barChart>
      <c:catAx>
        <c:axId val="16590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23232"/>
        <c:crosses val="autoZero"/>
        <c:auto val="1"/>
        <c:lblAlgn val="ctr"/>
        <c:lblOffset val="100"/>
        <c:noMultiLvlLbl val="0"/>
      </c:catAx>
      <c:valAx>
        <c:axId val="165902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[Patrick_Assignment_Data_Analytics.xlsx]Sales vs Cities!PivotTable7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Cities'!$B$3</c:f>
              <c:strCache>
                <c:ptCount val="1"/>
                <c:pt idx="0">
                  <c:v>Total</c:v>
                </c:pt>
              </c:strCache>
            </c:strRef>
          </c:tx>
          <c:spPr>
            <a:solidFill>
              <a:schemeClr val="accent1"/>
            </a:solidFill>
            <a:ln>
              <a:noFill/>
            </a:ln>
            <a:effectLst/>
          </c:spPr>
          <c:invertIfNegative val="0"/>
          <c:cat>
            <c:multiLvlStrRef>
              <c:f>'Sales vs Cities'!$A$4:$A$51</c:f>
              <c:multiLvlStrCache>
                <c:ptCount val="39"/>
                <c:lvl>
                  <c:pt idx="0">
                    <c:v>Huye</c:v>
                  </c:pt>
                  <c:pt idx="1">
                    <c:v>Kigali</c:v>
                  </c:pt>
                  <c:pt idx="2">
                    <c:v>Musanze</c:v>
                  </c:pt>
                  <c:pt idx="3">
                    <c:v>Rubavu</c:v>
                  </c:pt>
                  <c:pt idx="4">
                    <c:v>Rusizi</c:v>
                  </c:pt>
                  <c:pt idx="5">
                    <c:v>Huye</c:v>
                  </c:pt>
                  <c:pt idx="6">
                    <c:v>Kigali</c:v>
                  </c:pt>
                  <c:pt idx="7">
                    <c:v>Musanze</c:v>
                  </c:pt>
                  <c:pt idx="8">
                    <c:v>Rubavu</c:v>
                  </c:pt>
                  <c:pt idx="9">
                    <c:v>Rusizi</c:v>
                  </c:pt>
                  <c:pt idx="10">
                    <c:v>Huye</c:v>
                  </c:pt>
                  <c:pt idx="11">
                    <c:v>Kigali</c:v>
                  </c:pt>
                  <c:pt idx="12">
                    <c:v>Musanze</c:v>
                  </c:pt>
                  <c:pt idx="13">
                    <c:v>Rubavu</c:v>
                  </c:pt>
                  <c:pt idx="14">
                    <c:v>Rusizi</c:v>
                  </c:pt>
                  <c:pt idx="15">
                    <c:v>Huye</c:v>
                  </c:pt>
                  <c:pt idx="16">
                    <c:v>Kigali</c:v>
                  </c:pt>
                  <c:pt idx="17">
                    <c:v>Musanze</c:v>
                  </c:pt>
                  <c:pt idx="18">
                    <c:v>Rubavu</c:v>
                  </c:pt>
                  <c:pt idx="19">
                    <c:v>Rusizi</c:v>
                  </c:pt>
                  <c:pt idx="20">
                    <c:v>Huye</c:v>
                  </c:pt>
                  <c:pt idx="21">
                    <c:v>Kigali</c:v>
                  </c:pt>
                  <c:pt idx="22">
                    <c:v>Musanze</c:v>
                  </c:pt>
                  <c:pt idx="23">
                    <c:v>Rubavu</c:v>
                  </c:pt>
                  <c:pt idx="24">
                    <c:v>Rusizi</c:v>
                  </c:pt>
                  <c:pt idx="25">
                    <c:v>Huye</c:v>
                  </c:pt>
                  <c:pt idx="26">
                    <c:v>Kigali</c:v>
                  </c:pt>
                  <c:pt idx="27">
                    <c:v>Musanze</c:v>
                  </c:pt>
                  <c:pt idx="28">
                    <c:v>Rubavu</c:v>
                  </c:pt>
                  <c:pt idx="29">
                    <c:v>Huye</c:v>
                  </c:pt>
                  <c:pt idx="30">
                    <c:v>Kigali</c:v>
                  </c:pt>
                  <c:pt idx="31">
                    <c:v>Musanze</c:v>
                  </c:pt>
                  <c:pt idx="32">
                    <c:v>Rubavu</c:v>
                  </c:pt>
                  <c:pt idx="33">
                    <c:v>Rusizi</c:v>
                  </c:pt>
                  <c:pt idx="34">
                    <c:v>Huye</c:v>
                  </c:pt>
                  <c:pt idx="35">
                    <c:v>Kigali</c:v>
                  </c:pt>
                  <c:pt idx="36">
                    <c:v>Musanze</c:v>
                  </c:pt>
                  <c:pt idx="37">
                    <c:v>Rubavu</c:v>
                  </c:pt>
                  <c:pt idx="38">
                    <c:v>Rusizi</c:v>
                  </c:pt>
                </c:lvl>
                <c:lvl>
                  <c:pt idx="0">
                    <c:v>Chair</c:v>
                  </c:pt>
                  <c:pt idx="5">
                    <c:v>Desk</c:v>
                  </c:pt>
                  <c:pt idx="10">
                    <c:v>Laptop</c:v>
                  </c:pt>
                  <c:pt idx="15">
                    <c:v>Monitor</c:v>
                  </c:pt>
                  <c:pt idx="20">
                    <c:v>Notebook</c:v>
                  </c:pt>
                  <c:pt idx="25">
                    <c:v>Pen</c:v>
                  </c:pt>
                  <c:pt idx="29">
                    <c:v>Printer</c:v>
                  </c:pt>
                  <c:pt idx="34">
                    <c:v>Smartphone</c:v>
                  </c:pt>
                </c:lvl>
              </c:multiLvlStrCache>
            </c:multiLvlStrRef>
          </c:cat>
          <c:val>
            <c:numRef>
              <c:f>'Sales vs Cities'!$B$4:$B$51</c:f>
              <c:numCache>
                <c:formatCode>General</c:formatCode>
                <c:ptCount val="39"/>
                <c:pt idx="0">
                  <c:v>40879803</c:v>
                </c:pt>
                <c:pt idx="1">
                  <c:v>48253662</c:v>
                </c:pt>
                <c:pt idx="2">
                  <c:v>29426313</c:v>
                </c:pt>
                <c:pt idx="3">
                  <c:v>38166013</c:v>
                </c:pt>
                <c:pt idx="4">
                  <c:v>71728684</c:v>
                </c:pt>
                <c:pt idx="5">
                  <c:v>100555091</c:v>
                </c:pt>
                <c:pt idx="6">
                  <c:v>5847168</c:v>
                </c:pt>
                <c:pt idx="7">
                  <c:v>104517882</c:v>
                </c:pt>
                <c:pt idx="8">
                  <c:v>84858414</c:v>
                </c:pt>
                <c:pt idx="9">
                  <c:v>68923062</c:v>
                </c:pt>
                <c:pt idx="10">
                  <c:v>173660231</c:v>
                </c:pt>
                <c:pt idx="11">
                  <c:v>38093273</c:v>
                </c:pt>
                <c:pt idx="12">
                  <c:v>36436647</c:v>
                </c:pt>
                <c:pt idx="13">
                  <c:v>71470117</c:v>
                </c:pt>
                <c:pt idx="14">
                  <c:v>1974765</c:v>
                </c:pt>
                <c:pt idx="15">
                  <c:v>111851739</c:v>
                </c:pt>
                <c:pt idx="16">
                  <c:v>100665511</c:v>
                </c:pt>
                <c:pt idx="17">
                  <c:v>40576684</c:v>
                </c:pt>
                <c:pt idx="18">
                  <c:v>69035057</c:v>
                </c:pt>
                <c:pt idx="19">
                  <c:v>45921746</c:v>
                </c:pt>
                <c:pt idx="20">
                  <c:v>26062661</c:v>
                </c:pt>
                <c:pt idx="21">
                  <c:v>61699156</c:v>
                </c:pt>
                <c:pt idx="22">
                  <c:v>43943133</c:v>
                </c:pt>
                <c:pt idx="23">
                  <c:v>192842479</c:v>
                </c:pt>
                <c:pt idx="24">
                  <c:v>51508805</c:v>
                </c:pt>
                <c:pt idx="25">
                  <c:v>48068959</c:v>
                </c:pt>
                <c:pt idx="26">
                  <c:v>60612926</c:v>
                </c:pt>
                <c:pt idx="27">
                  <c:v>6736988</c:v>
                </c:pt>
                <c:pt idx="28">
                  <c:v>103916607</c:v>
                </c:pt>
                <c:pt idx="29">
                  <c:v>14999661</c:v>
                </c:pt>
                <c:pt idx="30">
                  <c:v>59050234</c:v>
                </c:pt>
                <c:pt idx="31">
                  <c:v>49153014</c:v>
                </c:pt>
                <c:pt idx="32">
                  <c:v>140282120</c:v>
                </c:pt>
                <c:pt idx="33">
                  <c:v>27164130</c:v>
                </c:pt>
                <c:pt idx="34">
                  <c:v>43846281</c:v>
                </c:pt>
                <c:pt idx="35">
                  <c:v>141878159</c:v>
                </c:pt>
                <c:pt idx="36">
                  <c:v>90303903</c:v>
                </c:pt>
                <c:pt idx="37">
                  <c:v>26945200</c:v>
                </c:pt>
                <c:pt idx="38">
                  <c:v>24569090</c:v>
                </c:pt>
              </c:numCache>
            </c:numRef>
          </c:val>
          <c:extLst>
            <c:ext xmlns:c16="http://schemas.microsoft.com/office/drawing/2014/chart" uri="{C3380CC4-5D6E-409C-BE32-E72D297353CC}">
              <c16:uniqueId val="{00000000-D5F3-405C-8CF0-7C53104EC65C}"/>
            </c:ext>
          </c:extLst>
        </c:ser>
        <c:dLbls>
          <c:showLegendKey val="0"/>
          <c:showVal val="0"/>
          <c:showCatName val="0"/>
          <c:showSerName val="0"/>
          <c:showPercent val="0"/>
          <c:showBubbleSize val="0"/>
        </c:dLbls>
        <c:gapWidth val="219"/>
        <c:overlap val="-27"/>
        <c:axId val="834589328"/>
        <c:axId val="1044874176"/>
      </c:barChart>
      <c:catAx>
        <c:axId val="8345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874176"/>
        <c:crosses val="autoZero"/>
        <c:auto val="1"/>
        <c:lblAlgn val="ctr"/>
        <c:lblOffset val="100"/>
        <c:noMultiLvlLbl val="0"/>
      </c:catAx>
      <c:valAx>
        <c:axId val="104487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8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[Patrick_Assignment_Data_Analytics.xlsx]Profit % vs Product!PivotTable8</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Percentage per Product</a:t>
            </a:r>
            <a:endParaRPr lang="en-US"/>
          </a:p>
        </c:rich>
      </c:tx>
      <c:layout>
        <c:manualLayout>
          <c:xMode val="edge"/>
          <c:yMode val="edge"/>
          <c:x val="0.15542344706911637"/>
          <c:y val="0.1135161935669534"/>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'Profit % vs Product'!$B$3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'Profit % vs Product'!$A$4:$A$12</c:f>
              <c:strCache>
                <c:ptCount val="8"/>
                <c:pt idx="0">
                  <c:v>Chair</c:v>
                </c:pt>
                <c:pt idx="1">
                  <c:v>Desk</c:v>
                </c:pt>
                <c:pt idx="2">
                  <c:v>Laptop</c:v>
                </c:pt>
                <c:pt idx="3">
                  <c:v>Monitor</c:v>
                </c:pt>
                <c:pt idx="4">
                  <c:v>Notebook</c:v>
                </c:pt>
                <c:pt idx="5">
                  <c:v>Pen</c:v>
                </c:pt>
                <c:pt idx="6">
                  <c:v>Printer</c:v>
                </c:pt>
                <c:pt idx="7">
                  <c:v>Smartphone</c:v>
                </c:pt>
              </c:strCache>
            </c:strRef>
          </c:cat>
          <c:val>
            <c:numRef>
              <c:f>'Profit % vs Product'!$B$4:$B$12</c:f>
              <c:numCache>
                <c:formatCode>General</c:formatCode>
                <c:ptCount val="8"/>
                <c:pt idx="0">
                  <c:v>251.59</c:v>
                </c:pt>
                <c:pt idx="1">
                  <c:v>268.67</c:v>
                </c:pt>
                <c:pt idx="2">
                  <c:v>267.32</c:v>
                </c:pt>
                <c:pt idx="3">
                  <c:v>291.77999999999997</c:v>
                </c:pt>
                <c:pt idx="4">
                  <c:v>377.70000000000005</c:v>
                </c:pt>
                <c:pt idx="5">
                  <c:v>181.38</c:v>
                </c:pt>
                <c:pt idx="6">
                  <c:v>270</c:v>
                </c:pt>
                <c:pt idx="7">
                  <c:v>289.89</c:v>
                </c:pt>
              </c:numCache>
            </c:numRef>
          </c:val>
          <c:extLst>
            <c:ext xmlns:c16="http://schemas.microsoft.com/office/drawing/2014/chart" uri="{C3380CC4-5D6E-409C-BE32-E72D297353CC}">
              <c16:uniqueId val="{00000000-EA02-4C2C-846B-55F672F7D18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[Patrick_Assignment_Data_Analytics.xlsx]Sales vs Cities!PivotTable7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rgbClr val="9933FF"/>
                </a:solidFill>
              </a:rPr>
              <a:t>Sales vs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Cities'!$B$3</c:f>
              <c:strCache>
                <c:ptCount val="1"/>
                <c:pt idx="0">
                  <c:v>Total</c:v>
                </c:pt>
              </c:strCache>
            </c:strRef>
          </c:tx>
          <c:spPr>
            <a:solidFill>
              <a:schemeClr val="accent1"/>
            </a:solidFill>
            <a:ln>
              <a:noFill/>
            </a:ln>
            <a:effectLst/>
          </c:spPr>
          <c:invertIfNegative val="0"/>
          <c:cat>
            <c:multiLvlStrRef>
              <c:f>'Sales vs Cities'!$A$4:$A$51</c:f>
              <c:multiLvlStrCache>
                <c:ptCount val="39"/>
                <c:lvl>
                  <c:pt idx="0">
                    <c:v>Huye</c:v>
                  </c:pt>
                  <c:pt idx="1">
                    <c:v>Kigali</c:v>
                  </c:pt>
                  <c:pt idx="2">
                    <c:v>Musanze</c:v>
                  </c:pt>
                  <c:pt idx="3">
                    <c:v>Rubavu</c:v>
                  </c:pt>
                  <c:pt idx="4">
                    <c:v>Rusizi</c:v>
                  </c:pt>
                  <c:pt idx="5">
                    <c:v>Huye</c:v>
                  </c:pt>
                  <c:pt idx="6">
                    <c:v>Kigali</c:v>
                  </c:pt>
                  <c:pt idx="7">
                    <c:v>Musanze</c:v>
                  </c:pt>
                  <c:pt idx="8">
                    <c:v>Rubavu</c:v>
                  </c:pt>
                  <c:pt idx="9">
                    <c:v>Rusizi</c:v>
                  </c:pt>
                  <c:pt idx="10">
                    <c:v>Huye</c:v>
                  </c:pt>
                  <c:pt idx="11">
                    <c:v>Kigali</c:v>
                  </c:pt>
                  <c:pt idx="12">
                    <c:v>Musanze</c:v>
                  </c:pt>
                  <c:pt idx="13">
                    <c:v>Rubavu</c:v>
                  </c:pt>
                  <c:pt idx="14">
                    <c:v>Rusizi</c:v>
                  </c:pt>
                  <c:pt idx="15">
                    <c:v>Huye</c:v>
                  </c:pt>
                  <c:pt idx="16">
                    <c:v>Kigali</c:v>
                  </c:pt>
                  <c:pt idx="17">
                    <c:v>Musanze</c:v>
                  </c:pt>
                  <c:pt idx="18">
                    <c:v>Rubavu</c:v>
                  </c:pt>
                  <c:pt idx="19">
                    <c:v>Rusizi</c:v>
                  </c:pt>
                  <c:pt idx="20">
                    <c:v>Huye</c:v>
                  </c:pt>
                  <c:pt idx="21">
                    <c:v>Kigali</c:v>
                  </c:pt>
                  <c:pt idx="22">
                    <c:v>Musanze</c:v>
                  </c:pt>
                  <c:pt idx="23">
                    <c:v>Rubavu</c:v>
                  </c:pt>
                  <c:pt idx="24">
                    <c:v>Rusizi</c:v>
                  </c:pt>
                  <c:pt idx="25">
                    <c:v>Huye</c:v>
                  </c:pt>
                  <c:pt idx="26">
                    <c:v>Kigali</c:v>
                  </c:pt>
                  <c:pt idx="27">
                    <c:v>Musanze</c:v>
                  </c:pt>
                  <c:pt idx="28">
                    <c:v>Rubavu</c:v>
                  </c:pt>
                  <c:pt idx="29">
                    <c:v>Huye</c:v>
                  </c:pt>
                  <c:pt idx="30">
                    <c:v>Kigali</c:v>
                  </c:pt>
                  <c:pt idx="31">
                    <c:v>Musanze</c:v>
                  </c:pt>
                  <c:pt idx="32">
                    <c:v>Rubavu</c:v>
                  </c:pt>
                  <c:pt idx="33">
                    <c:v>Rusizi</c:v>
                  </c:pt>
                  <c:pt idx="34">
                    <c:v>Huye</c:v>
                  </c:pt>
                  <c:pt idx="35">
                    <c:v>Kigali</c:v>
                  </c:pt>
                  <c:pt idx="36">
                    <c:v>Musanze</c:v>
                  </c:pt>
                  <c:pt idx="37">
                    <c:v>Rubavu</c:v>
                  </c:pt>
                  <c:pt idx="38">
                    <c:v>Rusizi</c:v>
                  </c:pt>
                </c:lvl>
                <c:lvl>
                  <c:pt idx="0">
                    <c:v>Chair</c:v>
                  </c:pt>
                  <c:pt idx="5">
                    <c:v>Desk</c:v>
                  </c:pt>
                  <c:pt idx="10">
                    <c:v>Laptop</c:v>
                  </c:pt>
                  <c:pt idx="15">
                    <c:v>Monitor</c:v>
                  </c:pt>
                  <c:pt idx="20">
                    <c:v>Notebook</c:v>
                  </c:pt>
                  <c:pt idx="25">
                    <c:v>Pen</c:v>
                  </c:pt>
                  <c:pt idx="29">
                    <c:v>Printer</c:v>
                  </c:pt>
                  <c:pt idx="34">
                    <c:v>Smartphone</c:v>
                  </c:pt>
                </c:lvl>
              </c:multiLvlStrCache>
            </c:multiLvlStrRef>
          </c:cat>
          <c:val>
            <c:numRef>
              <c:f>'Sales vs Cities'!$B$4:$B$51</c:f>
              <c:numCache>
                <c:formatCode>General</c:formatCode>
                <c:ptCount val="39"/>
                <c:pt idx="0">
                  <c:v>40879803</c:v>
                </c:pt>
                <c:pt idx="1">
                  <c:v>48253662</c:v>
                </c:pt>
                <c:pt idx="2">
                  <c:v>29426313</c:v>
                </c:pt>
                <c:pt idx="3">
                  <c:v>38166013</c:v>
                </c:pt>
                <c:pt idx="4">
                  <c:v>71728684</c:v>
                </c:pt>
                <c:pt idx="5">
                  <c:v>100555091</c:v>
                </c:pt>
                <c:pt idx="6">
                  <c:v>5847168</c:v>
                </c:pt>
                <c:pt idx="7">
                  <c:v>104517882</c:v>
                </c:pt>
                <c:pt idx="8">
                  <c:v>84858414</c:v>
                </c:pt>
                <c:pt idx="9">
                  <c:v>68923062</c:v>
                </c:pt>
                <c:pt idx="10">
                  <c:v>173660231</c:v>
                </c:pt>
                <c:pt idx="11">
                  <c:v>38093273</c:v>
                </c:pt>
                <c:pt idx="12">
                  <c:v>36436647</c:v>
                </c:pt>
                <c:pt idx="13">
                  <c:v>71470117</c:v>
                </c:pt>
                <c:pt idx="14">
                  <c:v>1974765</c:v>
                </c:pt>
                <c:pt idx="15">
                  <c:v>111851739</c:v>
                </c:pt>
                <c:pt idx="16">
                  <c:v>100665511</c:v>
                </c:pt>
                <c:pt idx="17">
                  <c:v>40576684</c:v>
                </c:pt>
                <c:pt idx="18">
                  <c:v>69035057</c:v>
                </c:pt>
                <c:pt idx="19">
                  <c:v>45921746</c:v>
                </c:pt>
                <c:pt idx="20">
                  <c:v>26062661</c:v>
                </c:pt>
                <c:pt idx="21">
                  <c:v>61699156</c:v>
                </c:pt>
                <c:pt idx="22">
                  <c:v>43943133</c:v>
                </c:pt>
                <c:pt idx="23">
                  <c:v>192842479</c:v>
                </c:pt>
                <c:pt idx="24">
                  <c:v>51508805</c:v>
                </c:pt>
                <c:pt idx="25">
                  <c:v>48068959</c:v>
                </c:pt>
                <c:pt idx="26">
                  <c:v>60612926</c:v>
                </c:pt>
                <c:pt idx="27">
                  <c:v>6736988</c:v>
                </c:pt>
                <c:pt idx="28">
                  <c:v>103916607</c:v>
                </c:pt>
                <c:pt idx="29">
                  <c:v>14999661</c:v>
                </c:pt>
                <c:pt idx="30">
                  <c:v>59050234</c:v>
                </c:pt>
                <c:pt idx="31">
                  <c:v>49153014</c:v>
                </c:pt>
                <c:pt idx="32">
                  <c:v>140282120</c:v>
                </c:pt>
                <c:pt idx="33">
                  <c:v>27164130</c:v>
                </c:pt>
                <c:pt idx="34">
                  <c:v>43846281</c:v>
                </c:pt>
                <c:pt idx="35">
                  <c:v>141878159</c:v>
                </c:pt>
                <c:pt idx="36">
                  <c:v>90303903</c:v>
                </c:pt>
                <c:pt idx="37">
                  <c:v>26945200</c:v>
                </c:pt>
                <c:pt idx="38">
                  <c:v>24569090</c:v>
                </c:pt>
              </c:numCache>
            </c:numRef>
          </c:val>
          <c:extLst>
            <c:ext xmlns:c16="http://schemas.microsoft.com/office/drawing/2014/chart" uri="{C3380CC4-5D6E-409C-BE32-E72D297353CC}">
              <c16:uniqueId val="{00000000-3977-42F9-A01B-476BE5A633BF}"/>
            </c:ext>
          </c:extLst>
        </c:ser>
        <c:dLbls>
          <c:showLegendKey val="0"/>
          <c:showVal val="0"/>
          <c:showCatName val="0"/>
          <c:showSerName val="0"/>
          <c:showPercent val="0"/>
          <c:showBubbleSize val="0"/>
        </c:dLbls>
        <c:gapWidth val="219"/>
        <c:overlap val="-27"/>
        <c:axId val="834589328"/>
        <c:axId val="1044874176"/>
      </c:barChart>
      <c:catAx>
        <c:axId val="83458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874176"/>
        <c:crosses val="autoZero"/>
        <c:auto val="1"/>
        <c:lblAlgn val="ctr"/>
        <c:lblOffset val="100"/>
        <c:noMultiLvlLbl val="0"/>
      </c:catAx>
      <c:valAx>
        <c:axId val="1044874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8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[Patrick_Assignment_Data_Analytics.xlsx]Sales vs Years!PivotTable6</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2800">
                <a:solidFill>
                  <a:srgbClr val="9933FF"/>
                </a:solidFill>
              </a:rPr>
              <a:t>Sales</a:t>
            </a:r>
            <a:r>
              <a:rPr lang="en-US" sz="2800" baseline="0">
                <a:solidFill>
                  <a:srgbClr val="9933FF"/>
                </a:solidFill>
              </a:rPr>
              <a:t> per Year</a:t>
            </a:r>
            <a:endParaRPr lang="en-US" sz="2800">
              <a:solidFill>
                <a:srgbClr val="9933FF"/>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vs Years'!$B$3</c:f>
              <c:strCache>
                <c:ptCount val="1"/>
                <c:pt idx="0">
                  <c:v>Sum of Year</c:v>
                </c:pt>
              </c:strCache>
            </c:strRef>
          </c:tx>
          <c:spPr>
            <a:solidFill>
              <a:schemeClr val="accent1"/>
            </a:solidFill>
            <a:ln>
              <a:noFill/>
            </a:ln>
            <a:effectLst/>
          </c:spPr>
          <c:invertIfNegative val="0"/>
          <c:cat>
            <c:multiLvlStrRef>
              <c:f>'Sales vs Years'!$A$4:$A$36</c:f>
              <c:multiLvlStrCache>
                <c:ptCount val="24"/>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lvl>
                <c:lvl>
                  <c:pt idx="0">
                    <c:v>Chair</c:v>
                  </c:pt>
                  <c:pt idx="3">
                    <c:v>Desk</c:v>
                  </c:pt>
                  <c:pt idx="6">
                    <c:v>Laptop</c:v>
                  </c:pt>
                  <c:pt idx="9">
                    <c:v>Monitor</c:v>
                  </c:pt>
                  <c:pt idx="12">
                    <c:v>Notebook</c:v>
                  </c:pt>
                  <c:pt idx="15">
                    <c:v>Pen</c:v>
                  </c:pt>
                  <c:pt idx="18">
                    <c:v>Printer</c:v>
                  </c:pt>
                  <c:pt idx="21">
                    <c:v>Smartphone</c:v>
                  </c:pt>
                </c:lvl>
              </c:multiLvlStrCache>
            </c:multiLvlStrRef>
          </c:cat>
          <c:val>
            <c:numRef>
              <c:f>'Sales vs Years'!$B$4:$B$36</c:f>
              <c:numCache>
                <c:formatCode>General</c:formatCode>
                <c:ptCount val="24"/>
                <c:pt idx="0">
                  <c:v>8092</c:v>
                </c:pt>
                <c:pt idx="1">
                  <c:v>6072</c:v>
                </c:pt>
                <c:pt idx="2">
                  <c:v>12150</c:v>
                </c:pt>
                <c:pt idx="3">
                  <c:v>8092</c:v>
                </c:pt>
                <c:pt idx="4">
                  <c:v>4048</c:v>
                </c:pt>
                <c:pt idx="5">
                  <c:v>16200</c:v>
                </c:pt>
                <c:pt idx="6">
                  <c:v>14161</c:v>
                </c:pt>
                <c:pt idx="7">
                  <c:v>8096</c:v>
                </c:pt>
                <c:pt idx="8">
                  <c:v>12150</c:v>
                </c:pt>
                <c:pt idx="9">
                  <c:v>8092</c:v>
                </c:pt>
                <c:pt idx="10">
                  <c:v>12144</c:v>
                </c:pt>
                <c:pt idx="11">
                  <c:v>12150</c:v>
                </c:pt>
                <c:pt idx="12">
                  <c:v>8092</c:v>
                </c:pt>
                <c:pt idx="13">
                  <c:v>20240</c:v>
                </c:pt>
                <c:pt idx="14">
                  <c:v>8100</c:v>
                </c:pt>
                <c:pt idx="15">
                  <c:v>6069</c:v>
                </c:pt>
                <c:pt idx="16">
                  <c:v>12144</c:v>
                </c:pt>
                <c:pt idx="17">
                  <c:v>4050</c:v>
                </c:pt>
                <c:pt idx="18">
                  <c:v>20230</c:v>
                </c:pt>
                <c:pt idx="19">
                  <c:v>2024</c:v>
                </c:pt>
                <c:pt idx="20">
                  <c:v>8100</c:v>
                </c:pt>
                <c:pt idx="21">
                  <c:v>10115</c:v>
                </c:pt>
                <c:pt idx="22">
                  <c:v>10120</c:v>
                </c:pt>
                <c:pt idx="23">
                  <c:v>12150</c:v>
                </c:pt>
              </c:numCache>
            </c:numRef>
          </c:val>
          <c:extLst>
            <c:ext xmlns:c16="http://schemas.microsoft.com/office/drawing/2014/chart" uri="{C3380CC4-5D6E-409C-BE32-E72D297353CC}">
              <c16:uniqueId val="{00000000-A8E2-49B1-B53B-5A60F736A149}"/>
            </c:ext>
          </c:extLst>
        </c:ser>
        <c:ser>
          <c:idx val="1"/>
          <c:order val="1"/>
          <c:tx>
            <c:strRef>
              <c:f>'Sales vs Years'!$C$3</c:f>
              <c:strCache>
                <c:ptCount val="1"/>
                <c:pt idx="0">
                  <c:v>Sum of Total Sales</c:v>
                </c:pt>
              </c:strCache>
            </c:strRef>
          </c:tx>
          <c:spPr>
            <a:solidFill>
              <a:schemeClr val="accent2"/>
            </a:solidFill>
            <a:ln>
              <a:noFill/>
            </a:ln>
            <a:effectLst/>
          </c:spPr>
          <c:invertIfNegative val="0"/>
          <c:cat>
            <c:multiLvlStrRef>
              <c:f>'Sales vs Years'!$A$4:$A$36</c:f>
              <c:multiLvlStrCache>
                <c:ptCount val="24"/>
                <c:lvl>
                  <c:pt idx="0">
                    <c:v>2023</c:v>
                  </c:pt>
                  <c:pt idx="1">
                    <c:v>2024</c:v>
                  </c:pt>
                  <c:pt idx="2">
                    <c:v>2025</c:v>
                  </c:pt>
                  <c:pt idx="3">
                    <c:v>2023</c:v>
                  </c:pt>
                  <c:pt idx="4">
                    <c:v>2024</c:v>
                  </c:pt>
                  <c:pt idx="5">
                    <c:v>2025</c:v>
                  </c:pt>
                  <c:pt idx="6">
                    <c:v>2023</c:v>
                  </c:pt>
                  <c:pt idx="7">
                    <c:v>2024</c:v>
                  </c:pt>
                  <c:pt idx="8">
                    <c:v>2025</c:v>
                  </c:pt>
                  <c:pt idx="9">
                    <c:v>2023</c:v>
                  </c:pt>
                  <c:pt idx="10">
                    <c:v>2024</c:v>
                  </c:pt>
                  <c:pt idx="11">
                    <c:v>2025</c:v>
                  </c:pt>
                  <c:pt idx="12">
                    <c:v>2023</c:v>
                  </c:pt>
                  <c:pt idx="13">
                    <c:v>2024</c:v>
                  </c:pt>
                  <c:pt idx="14">
                    <c:v>2025</c:v>
                  </c:pt>
                  <c:pt idx="15">
                    <c:v>2023</c:v>
                  </c:pt>
                  <c:pt idx="16">
                    <c:v>2024</c:v>
                  </c:pt>
                  <c:pt idx="17">
                    <c:v>2025</c:v>
                  </c:pt>
                  <c:pt idx="18">
                    <c:v>2023</c:v>
                  </c:pt>
                  <c:pt idx="19">
                    <c:v>2024</c:v>
                  </c:pt>
                  <c:pt idx="20">
                    <c:v>2025</c:v>
                  </c:pt>
                  <c:pt idx="21">
                    <c:v>2023</c:v>
                  </c:pt>
                  <c:pt idx="22">
                    <c:v>2024</c:v>
                  </c:pt>
                  <c:pt idx="23">
                    <c:v>2025</c:v>
                  </c:pt>
                </c:lvl>
                <c:lvl>
                  <c:pt idx="0">
                    <c:v>Chair</c:v>
                  </c:pt>
                  <c:pt idx="3">
                    <c:v>Desk</c:v>
                  </c:pt>
                  <c:pt idx="6">
                    <c:v>Laptop</c:v>
                  </c:pt>
                  <c:pt idx="9">
                    <c:v>Monitor</c:v>
                  </c:pt>
                  <c:pt idx="12">
                    <c:v>Notebook</c:v>
                  </c:pt>
                  <c:pt idx="15">
                    <c:v>Pen</c:v>
                  </c:pt>
                  <c:pt idx="18">
                    <c:v>Printer</c:v>
                  </c:pt>
                  <c:pt idx="21">
                    <c:v>Smartphone</c:v>
                  </c:pt>
                </c:lvl>
              </c:multiLvlStrCache>
            </c:multiLvlStrRef>
          </c:cat>
          <c:val>
            <c:numRef>
              <c:f>'Sales vs Years'!$C$4:$C$36</c:f>
              <c:numCache>
                <c:formatCode>General</c:formatCode>
                <c:ptCount val="24"/>
                <c:pt idx="0">
                  <c:v>84985033</c:v>
                </c:pt>
                <c:pt idx="1">
                  <c:v>66140670</c:v>
                </c:pt>
                <c:pt idx="2">
                  <c:v>77328772</c:v>
                </c:pt>
                <c:pt idx="3">
                  <c:v>80013767</c:v>
                </c:pt>
                <c:pt idx="4">
                  <c:v>66902714</c:v>
                </c:pt>
                <c:pt idx="5">
                  <c:v>217785136</c:v>
                </c:pt>
                <c:pt idx="6">
                  <c:v>188992764</c:v>
                </c:pt>
                <c:pt idx="7">
                  <c:v>42944871</c:v>
                </c:pt>
                <c:pt idx="8">
                  <c:v>89697398</c:v>
                </c:pt>
                <c:pt idx="9">
                  <c:v>91476086</c:v>
                </c:pt>
                <c:pt idx="10">
                  <c:v>160818623</c:v>
                </c:pt>
                <c:pt idx="11">
                  <c:v>115756028</c:v>
                </c:pt>
                <c:pt idx="12">
                  <c:v>87149030</c:v>
                </c:pt>
                <c:pt idx="13">
                  <c:v>193985598</c:v>
                </c:pt>
                <c:pt idx="14">
                  <c:v>94921606</c:v>
                </c:pt>
                <c:pt idx="15">
                  <c:v>54203325</c:v>
                </c:pt>
                <c:pt idx="16">
                  <c:v>99408627</c:v>
                </c:pt>
                <c:pt idx="17">
                  <c:v>65723528</c:v>
                </c:pt>
                <c:pt idx="18">
                  <c:v>212786312</c:v>
                </c:pt>
                <c:pt idx="19">
                  <c:v>31474400</c:v>
                </c:pt>
                <c:pt idx="20">
                  <c:v>46388447</c:v>
                </c:pt>
                <c:pt idx="21">
                  <c:v>60111120</c:v>
                </c:pt>
                <c:pt idx="22">
                  <c:v>85367599</c:v>
                </c:pt>
                <c:pt idx="23">
                  <c:v>182063914</c:v>
                </c:pt>
              </c:numCache>
            </c:numRef>
          </c:val>
          <c:extLst>
            <c:ext xmlns:c16="http://schemas.microsoft.com/office/drawing/2014/chart" uri="{C3380CC4-5D6E-409C-BE32-E72D297353CC}">
              <c16:uniqueId val="{00000001-A8E2-49B1-B53B-5A60F736A149}"/>
            </c:ext>
          </c:extLst>
        </c:ser>
        <c:dLbls>
          <c:showLegendKey val="0"/>
          <c:showVal val="0"/>
          <c:showCatName val="0"/>
          <c:showSerName val="0"/>
          <c:showPercent val="0"/>
          <c:showBubbleSize val="0"/>
        </c:dLbls>
        <c:gapWidth val="219"/>
        <c:overlap val="-27"/>
        <c:axId val="1659018432"/>
        <c:axId val="1659023232"/>
      </c:barChart>
      <c:catAx>
        <c:axId val="165901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23232"/>
        <c:crosses val="autoZero"/>
        <c:auto val="1"/>
        <c:lblAlgn val="ctr"/>
        <c:lblOffset val="100"/>
        <c:noMultiLvlLbl val="0"/>
      </c:catAx>
      <c:valAx>
        <c:axId val="1659023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1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[Patrick_Assignment_Data_Analytics.xlsx]Total Profit vs Product!PivotTable5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solidFill>
                  <a:srgbClr val="9933FF"/>
                </a:solidFill>
              </a:rPr>
              <a:t>Profit</a:t>
            </a:r>
            <a:r>
              <a:rPr lang="en-US" sz="2800" baseline="0">
                <a:solidFill>
                  <a:srgbClr val="9933FF"/>
                </a:solidFill>
              </a:rPr>
              <a:t> vs Product</a:t>
            </a:r>
            <a:endParaRPr lang="en-US" sz="2800">
              <a:solidFill>
                <a:srgbClr val="9933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 Profit vs Product'!$B$3</c:f>
              <c:strCache>
                <c:ptCount val="1"/>
                <c:pt idx="0">
                  <c:v>Total</c:v>
                </c:pt>
              </c:strCache>
            </c:strRef>
          </c:tx>
          <c:spPr>
            <a:solidFill>
              <a:schemeClr val="accent1"/>
            </a:solidFill>
            <a:ln>
              <a:noFill/>
            </a:ln>
            <a:effectLst/>
          </c:spPr>
          <c:invertIfNegative val="0"/>
          <c:cat>
            <c:strRef>
              <c:f>'Total Profit vs Product'!$A$4:$A$12</c:f>
              <c:strCache>
                <c:ptCount val="8"/>
                <c:pt idx="0">
                  <c:v>Chair</c:v>
                </c:pt>
                <c:pt idx="1">
                  <c:v>Desk</c:v>
                </c:pt>
                <c:pt idx="2">
                  <c:v>Laptop</c:v>
                </c:pt>
                <c:pt idx="3">
                  <c:v>Monitor</c:v>
                </c:pt>
                <c:pt idx="4">
                  <c:v>Notebook</c:v>
                </c:pt>
                <c:pt idx="5">
                  <c:v>Pen</c:v>
                </c:pt>
                <c:pt idx="6">
                  <c:v>Printer</c:v>
                </c:pt>
                <c:pt idx="7">
                  <c:v>Smartphone</c:v>
                </c:pt>
              </c:strCache>
            </c:strRef>
          </c:cat>
          <c:val>
            <c:numRef>
              <c:f>'Total Profit vs Product'!$B$4:$B$12</c:f>
              <c:numCache>
                <c:formatCode>General</c:formatCode>
                <c:ptCount val="8"/>
                <c:pt idx="0">
                  <c:v>1619608.96</c:v>
                </c:pt>
                <c:pt idx="1">
                  <c:v>2285023.9499999997</c:v>
                </c:pt>
                <c:pt idx="2">
                  <c:v>1937883.9200000002</c:v>
                </c:pt>
                <c:pt idx="3">
                  <c:v>2370711.08</c:v>
                </c:pt>
                <c:pt idx="4">
                  <c:v>3125789.3799999994</c:v>
                </c:pt>
                <c:pt idx="5">
                  <c:v>1679239.54</c:v>
                </c:pt>
                <c:pt idx="6">
                  <c:v>1858058.6400000001</c:v>
                </c:pt>
                <c:pt idx="7">
                  <c:v>1811321.79</c:v>
                </c:pt>
              </c:numCache>
            </c:numRef>
          </c:val>
          <c:extLst>
            <c:ext xmlns:c16="http://schemas.microsoft.com/office/drawing/2014/chart" uri="{C3380CC4-5D6E-409C-BE32-E72D297353CC}">
              <c16:uniqueId val="{00000000-5A9E-4039-825F-22AB77DA55B9}"/>
            </c:ext>
          </c:extLst>
        </c:ser>
        <c:dLbls>
          <c:showLegendKey val="0"/>
          <c:showVal val="0"/>
          <c:showCatName val="0"/>
          <c:showSerName val="0"/>
          <c:showPercent val="0"/>
          <c:showBubbleSize val="0"/>
        </c:dLbls>
        <c:gapWidth val="182"/>
        <c:axId val="1659032352"/>
        <c:axId val="1659024672"/>
      </c:barChart>
      <c:catAx>
        <c:axId val="1659032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24672"/>
        <c:crosses val="autoZero"/>
        <c:auto val="1"/>
        <c:lblAlgn val="ctr"/>
        <c:lblOffset val="100"/>
        <c:noMultiLvlLbl val="0"/>
      </c:catAx>
      <c:valAx>
        <c:axId val="1659024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032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[Patrick_Assignment_Data_Analytics.xlsx]Profit % vs Product!PivotTable8</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400">
                <a:solidFill>
                  <a:srgbClr val="9933FF"/>
                </a:solidFill>
              </a:rPr>
              <a:t>Profit</a:t>
            </a:r>
            <a:r>
              <a:rPr lang="en-US" sz="2400" baseline="0">
                <a:solidFill>
                  <a:srgbClr val="9933FF"/>
                </a:solidFill>
              </a:rPr>
              <a:t> Percentage</a:t>
            </a:r>
            <a:endParaRPr lang="en-US" sz="2400">
              <a:solidFill>
                <a:srgbClr val="9933FF"/>
              </a:solidFill>
            </a:endParaRPr>
          </a:p>
        </c:rich>
      </c:tx>
      <c:layout>
        <c:manualLayout>
          <c:xMode val="edge"/>
          <c:yMode val="edge"/>
          <c:x val="0.15879716705452307"/>
          <c:y val="0.12734741144908754"/>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'Profit % vs Product'!$B$3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EB-4AA5-9BF2-6A197DBF70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EB-4AA5-9BF2-6A197DBF70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EB-4AA5-9BF2-6A197DBF70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5EB-4AA5-9BF2-6A197DBF70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5EB-4AA5-9BF2-6A197DBF70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5EB-4AA5-9BF2-6A197DBF70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5EB-4AA5-9BF2-6A197DBF70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5EB-4AA5-9BF2-6A197DBF7096}"/>
              </c:ext>
            </c:extLst>
          </c:dPt>
          <c:cat>
            <c:strRef>
              <c:f>'Profit % vs Product'!$A$4:$A$12</c:f>
              <c:strCache>
                <c:ptCount val="8"/>
                <c:pt idx="0">
                  <c:v>Chair</c:v>
                </c:pt>
                <c:pt idx="1">
                  <c:v>Desk</c:v>
                </c:pt>
                <c:pt idx="2">
                  <c:v>Laptop</c:v>
                </c:pt>
                <c:pt idx="3">
                  <c:v>Monitor</c:v>
                </c:pt>
                <c:pt idx="4">
                  <c:v>Notebook</c:v>
                </c:pt>
                <c:pt idx="5">
                  <c:v>Pen</c:v>
                </c:pt>
                <c:pt idx="6">
                  <c:v>Printer</c:v>
                </c:pt>
                <c:pt idx="7">
                  <c:v>Smartphone</c:v>
                </c:pt>
              </c:strCache>
            </c:strRef>
          </c:cat>
          <c:val>
            <c:numRef>
              <c:f>'Profit % vs Product'!$B$4:$B$12</c:f>
              <c:numCache>
                <c:formatCode>General</c:formatCode>
                <c:ptCount val="8"/>
                <c:pt idx="0">
                  <c:v>251.59</c:v>
                </c:pt>
                <c:pt idx="1">
                  <c:v>268.67</c:v>
                </c:pt>
                <c:pt idx="2">
                  <c:v>267.32</c:v>
                </c:pt>
                <c:pt idx="3">
                  <c:v>291.77999999999997</c:v>
                </c:pt>
                <c:pt idx="4">
                  <c:v>377.70000000000005</c:v>
                </c:pt>
                <c:pt idx="5">
                  <c:v>181.38</c:v>
                </c:pt>
                <c:pt idx="6">
                  <c:v>270</c:v>
                </c:pt>
                <c:pt idx="7">
                  <c:v>289.89</c:v>
                </c:pt>
              </c:numCache>
            </c:numRef>
          </c:val>
          <c:extLst>
            <c:ext xmlns:c16="http://schemas.microsoft.com/office/drawing/2014/chart" uri="{C3380CC4-5D6E-409C-BE32-E72D297353CC}">
              <c16:uniqueId val="{00000010-25EB-4AA5-9BF2-6A197DBF709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949392712550611"/>
          <c:y val="0.27054958379165256"/>
          <c:w val="0.23026315789473684"/>
          <c:h val="0.658852550070245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[Patrick_Assignment_Data_Analytics.xlsx]Customer Trends!PivotTable12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rgbClr val="9933FF"/>
                </a:solidFill>
              </a:rPr>
              <a:t>Customer</a:t>
            </a:r>
            <a:r>
              <a:rPr lang="en-US" sz="2400" baseline="0">
                <a:solidFill>
                  <a:srgbClr val="9933FF"/>
                </a:solidFill>
              </a:rPr>
              <a:t> Trends</a:t>
            </a:r>
            <a:endParaRPr lang="en-US" sz="2400">
              <a:solidFill>
                <a:srgbClr val="9933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Trends'!$A$3</c:f>
              <c:strCache>
                <c:ptCount val="1"/>
                <c:pt idx="0">
                  <c:v>Sum of No.Customers/Wholesale</c:v>
                </c:pt>
              </c:strCache>
            </c:strRef>
          </c:tx>
          <c:spPr>
            <a:solidFill>
              <a:schemeClr val="accent1"/>
            </a:solidFill>
            <a:ln>
              <a:noFill/>
            </a:ln>
            <a:effectLst/>
          </c:spPr>
          <c:invertIfNegative val="0"/>
          <c:cat>
            <c:strRef>
              <c:f>'Customer Trends'!$A$4</c:f>
              <c:strCache>
                <c:ptCount val="1"/>
                <c:pt idx="0">
                  <c:v>Total</c:v>
                </c:pt>
              </c:strCache>
            </c:strRef>
          </c:cat>
          <c:val>
            <c:numRef>
              <c:f>'Customer Trends'!$A$4</c:f>
              <c:numCache>
                <c:formatCode>General</c:formatCode>
                <c:ptCount val="1"/>
                <c:pt idx="0">
                  <c:v>63</c:v>
                </c:pt>
              </c:numCache>
            </c:numRef>
          </c:val>
          <c:extLst>
            <c:ext xmlns:c16="http://schemas.microsoft.com/office/drawing/2014/chart" uri="{C3380CC4-5D6E-409C-BE32-E72D297353CC}">
              <c16:uniqueId val="{00000000-642C-4CA8-BF68-9D9A277BC97C}"/>
            </c:ext>
          </c:extLst>
        </c:ser>
        <c:ser>
          <c:idx val="1"/>
          <c:order val="1"/>
          <c:tx>
            <c:strRef>
              <c:f>'Customer Trends'!$B$3</c:f>
              <c:strCache>
                <c:ptCount val="1"/>
                <c:pt idx="0">
                  <c:v>Sum of No.Customers/Retail</c:v>
                </c:pt>
              </c:strCache>
            </c:strRef>
          </c:tx>
          <c:spPr>
            <a:solidFill>
              <a:schemeClr val="accent2"/>
            </a:solidFill>
            <a:ln>
              <a:noFill/>
            </a:ln>
            <a:effectLst/>
          </c:spPr>
          <c:invertIfNegative val="0"/>
          <c:cat>
            <c:strRef>
              <c:f>'Customer Trends'!$A$4</c:f>
              <c:strCache>
                <c:ptCount val="1"/>
                <c:pt idx="0">
                  <c:v>Total</c:v>
                </c:pt>
              </c:strCache>
            </c:strRef>
          </c:cat>
          <c:val>
            <c:numRef>
              <c:f>'Customer Trends'!$B$4</c:f>
              <c:numCache>
                <c:formatCode>General</c:formatCode>
                <c:ptCount val="1"/>
                <c:pt idx="0">
                  <c:v>57</c:v>
                </c:pt>
              </c:numCache>
            </c:numRef>
          </c:val>
          <c:extLst>
            <c:ext xmlns:c16="http://schemas.microsoft.com/office/drawing/2014/chart" uri="{C3380CC4-5D6E-409C-BE32-E72D297353CC}">
              <c16:uniqueId val="{00000001-642C-4CA8-BF68-9D9A277BC97C}"/>
            </c:ext>
          </c:extLst>
        </c:ser>
        <c:ser>
          <c:idx val="2"/>
          <c:order val="2"/>
          <c:tx>
            <c:strRef>
              <c:f>'Customer Trends'!$C$3</c:f>
              <c:strCache>
                <c:ptCount val="1"/>
                <c:pt idx="0">
                  <c:v>Sum of No.Customers/Mobile Money</c:v>
                </c:pt>
              </c:strCache>
            </c:strRef>
          </c:tx>
          <c:spPr>
            <a:solidFill>
              <a:schemeClr val="accent3"/>
            </a:solidFill>
            <a:ln>
              <a:noFill/>
            </a:ln>
            <a:effectLst/>
          </c:spPr>
          <c:invertIfNegative val="0"/>
          <c:cat>
            <c:strRef>
              <c:f>'Customer Trends'!$A$4</c:f>
              <c:strCache>
                <c:ptCount val="1"/>
                <c:pt idx="0">
                  <c:v>Total</c:v>
                </c:pt>
              </c:strCache>
            </c:strRef>
          </c:cat>
          <c:val>
            <c:numRef>
              <c:f>'Customer Trends'!$C$4</c:f>
              <c:numCache>
                <c:formatCode>General</c:formatCode>
                <c:ptCount val="1"/>
                <c:pt idx="0">
                  <c:v>44</c:v>
                </c:pt>
              </c:numCache>
            </c:numRef>
          </c:val>
          <c:extLst>
            <c:ext xmlns:c16="http://schemas.microsoft.com/office/drawing/2014/chart" uri="{C3380CC4-5D6E-409C-BE32-E72D297353CC}">
              <c16:uniqueId val="{00000002-642C-4CA8-BF68-9D9A277BC97C}"/>
            </c:ext>
          </c:extLst>
        </c:ser>
        <c:ser>
          <c:idx val="3"/>
          <c:order val="3"/>
          <c:tx>
            <c:strRef>
              <c:f>'Customer Trends'!$D$3</c:f>
              <c:strCache>
                <c:ptCount val="1"/>
                <c:pt idx="0">
                  <c:v>Sum of No.Customers/Cash</c:v>
                </c:pt>
              </c:strCache>
            </c:strRef>
          </c:tx>
          <c:spPr>
            <a:solidFill>
              <a:schemeClr val="accent4"/>
            </a:solidFill>
            <a:ln>
              <a:noFill/>
            </a:ln>
            <a:effectLst/>
          </c:spPr>
          <c:invertIfNegative val="0"/>
          <c:cat>
            <c:strRef>
              <c:f>'Customer Trends'!$A$4</c:f>
              <c:strCache>
                <c:ptCount val="1"/>
                <c:pt idx="0">
                  <c:v>Total</c:v>
                </c:pt>
              </c:strCache>
            </c:strRef>
          </c:cat>
          <c:val>
            <c:numRef>
              <c:f>'Customer Trends'!$D$4</c:f>
              <c:numCache>
                <c:formatCode>General</c:formatCode>
                <c:ptCount val="1"/>
                <c:pt idx="0">
                  <c:v>48</c:v>
                </c:pt>
              </c:numCache>
            </c:numRef>
          </c:val>
          <c:extLst>
            <c:ext xmlns:c16="http://schemas.microsoft.com/office/drawing/2014/chart" uri="{C3380CC4-5D6E-409C-BE32-E72D297353CC}">
              <c16:uniqueId val="{00000003-642C-4CA8-BF68-9D9A277BC97C}"/>
            </c:ext>
          </c:extLst>
        </c:ser>
        <c:ser>
          <c:idx val="4"/>
          <c:order val="4"/>
          <c:tx>
            <c:strRef>
              <c:f>'Customer Trends'!$E$3</c:f>
              <c:strCache>
                <c:ptCount val="1"/>
                <c:pt idx="0">
                  <c:v>Sum of No.customers/Card</c:v>
                </c:pt>
              </c:strCache>
            </c:strRef>
          </c:tx>
          <c:spPr>
            <a:solidFill>
              <a:schemeClr val="accent5"/>
            </a:solidFill>
            <a:ln>
              <a:noFill/>
            </a:ln>
            <a:effectLst/>
          </c:spPr>
          <c:invertIfNegative val="0"/>
          <c:cat>
            <c:strRef>
              <c:f>'Customer Trends'!$A$4</c:f>
              <c:strCache>
                <c:ptCount val="1"/>
                <c:pt idx="0">
                  <c:v>Total</c:v>
                </c:pt>
              </c:strCache>
            </c:strRef>
          </c:cat>
          <c:val>
            <c:numRef>
              <c:f>'Customer Trends'!$E$4</c:f>
              <c:numCache>
                <c:formatCode>General</c:formatCode>
                <c:ptCount val="1"/>
                <c:pt idx="0">
                  <c:v>28</c:v>
                </c:pt>
              </c:numCache>
            </c:numRef>
          </c:val>
          <c:extLst>
            <c:ext xmlns:c16="http://schemas.microsoft.com/office/drawing/2014/chart" uri="{C3380CC4-5D6E-409C-BE32-E72D297353CC}">
              <c16:uniqueId val="{00000004-642C-4CA8-BF68-9D9A277BC97C}"/>
            </c:ext>
          </c:extLst>
        </c:ser>
        <c:dLbls>
          <c:showLegendKey val="0"/>
          <c:showVal val="0"/>
          <c:showCatName val="0"/>
          <c:showSerName val="0"/>
          <c:showPercent val="0"/>
          <c:showBubbleSize val="0"/>
        </c:dLbls>
        <c:gapWidth val="219"/>
        <c:overlap val="-27"/>
        <c:axId val="1667949088"/>
        <c:axId val="1667953888"/>
      </c:barChart>
      <c:catAx>
        <c:axId val="166794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53888"/>
        <c:crosses val="autoZero"/>
        <c:auto val="1"/>
        <c:lblAlgn val="ctr"/>
        <c:lblOffset val="100"/>
        <c:noMultiLvlLbl val="0"/>
      </c:catAx>
      <c:valAx>
        <c:axId val="166795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94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[Patrick_Assignment_Data_Analytics.xlsx]Gender_Comparison!PivotTable17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Gender_Comparison!$A$3</c:f>
              <c:strCache>
                <c:ptCount val="1"/>
                <c:pt idx="0">
                  <c:v>Sum of No.male</c:v>
                </c:pt>
              </c:strCache>
            </c:strRef>
          </c:tx>
          <c:spPr>
            <a:solidFill>
              <a:schemeClr val="accent1"/>
            </a:solidFill>
            <a:ln>
              <a:noFill/>
            </a:ln>
            <a:effectLst/>
          </c:spPr>
          <c:invertIfNegative val="0"/>
          <c:cat>
            <c:strRef>
              <c:f>Gender_Comparison!$A$4</c:f>
              <c:strCache>
                <c:ptCount val="1"/>
                <c:pt idx="0">
                  <c:v>Total</c:v>
                </c:pt>
              </c:strCache>
            </c:strRef>
          </c:cat>
          <c:val>
            <c:numRef>
              <c:f>Gender_Comparison!$A$4</c:f>
              <c:numCache>
                <c:formatCode>General</c:formatCode>
                <c:ptCount val="1"/>
                <c:pt idx="0">
                  <c:v>55</c:v>
                </c:pt>
              </c:numCache>
            </c:numRef>
          </c:val>
          <c:extLst>
            <c:ext xmlns:c16="http://schemas.microsoft.com/office/drawing/2014/chart" uri="{C3380CC4-5D6E-409C-BE32-E72D297353CC}">
              <c16:uniqueId val="{00000000-A6D2-46C0-AED3-D8C92CBB2379}"/>
            </c:ext>
          </c:extLst>
        </c:ser>
        <c:ser>
          <c:idx val="1"/>
          <c:order val="1"/>
          <c:tx>
            <c:strRef>
              <c:f>Gender_Comparison!$B$3</c:f>
              <c:strCache>
                <c:ptCount val="1"/>
                <c:pt idx="0">
                  <c:v>Sum of No.Female</c:v>
                </c:pt>
              </c:strCache>
            </c:strRef>
          </c:tx>
          <c:spPr>
            <a:solidFill>
              <a:schemeClr val="accent2"/>
            </a:solidFill>
            <a:ln>
              <a:noFill/>
            </a:ln>
            <a:effectLst/>
          </c:spPr>
          <c:invertIfNegative val="0"/>
          <c:cat>
            <c:strRef>
              <c:f>Gender_Comparison!$A$4</c:f>
              <c:strCache>
                <c:ptCount val="1"/>
                <c:pt idx="0">
                  <c:v>Total</c:v>
                </c:pt>
              </c:strCache>
            </c:strRef>
          </c:cat>
          <c:val>
            <c:numRef>
              <c:f>Gender_Comparison!$B$4</c:f>
              <c:numCache>
                <c:formatCode>General</c:formatCode>
                <c:ptCount val="1"/>
                <c:pt idx="0">
                  <c:v>65</c:v>
                </c:pt>
              </c:numCache>
            </c:numRef>
          </c:val>
          <c:extLst>
            <c:ext xmlns:c16="http://schemas.microsoft.com/office/drawing/2014/chart" uri="{C3380CC4-5D6E-409C-BE32-E72D297353CC}">
              <c16:uniqueId val="{00000001-A6D2-46C0-AED3-D8C92CBB2379}"/>
            </c:ext>
          </c:extLst>
        </c:ser>
        <c:dLbls>
          <c:showLegendKey val="0"/>
          <c:showVal val="0"/>
          <c:showCatName val="0"/>
          <c:showSerName val="0"/>
          <c:showPercent val="0"/>
          <c:showBubbleSize val="0"/>
        </c:dLbls>
        <c:gapWidth val="219"/>
        <c:overlap val="-27"/>
        <c:axId val="1052311968"/>
        <c:axId val="1776250064"/>
      </c:barChart>
      <c:catAx>
        <c:axId val="10523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50064"/>
        <c:crosses val="autoZero"/>
        <c:auto val="1"/>
        <c:lblAlgn val="ctr"/>
        <c:lblOffset val="100"/>
        <c:noMultiLvlLbl val="0"/>
      </c:catAx>
      <c:valAx>
        <c:axId val="177625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1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[Patrick_Assignment_Data_Analytics.xlsx]Employement_Status!PivotTable18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Employement</a:t>
            </a:r>
            <a:r>
              <a:rPr lang="en-US" baseline="0"/>
              <a:t> Status</a:t>
            </a:r>
            <a:endParaRPr lang="en-US"/>
          </a:p>
        </c:rich>
      </c:tx>
      <c:layout>
        <c:manualLayout>
          <c:xMode val="edge"/>
          <c:yMode val="edge"/>
          <c:x val="0.2092915573053368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Employement_Status!$A$3</c:f>
              <c:strCache>
                <c:ptCount val="1"/>
                <c:pt idx="0">
                  <c:v>Sum of No.Managers</c:v>
                </c:pt>
              </c:strCache>
            </c:strRef>
          </c:tx>
          <c:spPr>
            <a:solidFill>
              <a:schemeClr val="accent1"/>
            </a:solidFill>
            <a:ln>
              <a:noFill/>
            </a:ln>
            <a:effectLst/>
          </c:spPr>
          <c:invertIfNegative val="0"/>
          <c:cat>
            <c:strRef>
              <c:f>Employement_Status!$A$4</c:f>
              <c:strCache>
                <c:ptCount val="1"/>
                <c:pt idx="0">
                  <c:v>Total</c:v>
                </c:pt>
              </c:strCache>
            </c:strRef>
          </c:cat>
          <c:val>
            <c:numRef>
              <c:f>Employement_Status!$A$4</c:f>
              <c:numCache>
                <c:formatCode>General</c:formatCode>
                <c:ptCount val="1"/>
                <c:pt idx="0">
                  <c:v>19</c:v>
                </c:pt>
              </c:numCache>
            </c:numRef>
          </c:val>
          <c:extLst>
            <c:ext xmlns:c16="http://schemas.microsoft.com/office/drawing/2014/chart" uri="{C3380CC4-5D6E-409C-BE32-E72D297353CC}">
              <c16:uniqueId val="{00000000-8E37-406E-9070-E2B4A1594F9A}"/>
            </c:ext>
          </c:extLst>
        </c:ser>
        <c:ser>
          <c:idx val="1"/>
          <c:order val="1"/>
          <c:tx>
            <c:strRef>
              <c:f>Employement_Status!$B$3</c:f>
              <c:strCache>
                <c:ptCount val="1"/>
                <c:pt idx="0">
                  <c:v>Sum of No.Analysts</c:v>
                </c:pt>
              </c:strCache>
            </c:strRef>
          </c:tx>
          <c:spPr>
            <a:solidFill>
              <a:schemeClr val="accent2"/>
            </a:solidFill>
            <a:ln>
              <a:noFill/>
            </a:ln>
            <a:effectLst/>
          </c:spPr>
          <c:invertIfNegative val="0"/>
          <c:cat>
            <c:strRef>
              <c:f>Employement_Status!$A$4</c:f>
              <c:strCache>
                <c:ptCount val="1"/>
                <c:pt idx="0">
                  <c:v>Total</c:v>
                </c:pt>
              </c:strCache>
            </c:strRef>
          </c:cat>
          <c:val>
            <c:numRef>
              <c:f>Employement_Status!$B$4</c:f>
              <c:numCache>
                <c:formatCode>General</c:formatCode>
                <c:ptCount val="1"/>
                <c:pt idx="0">
                  <c:v>28</c:v>
                </c:pt>
              </c:numCache>
            </c:numRef>
          </c:val>
          <c:extLst>
            <c:ext xmlns:c16="http://schemas.microsoft.com/office/drawing/2014/chart" uri="{C3380CC4-5D6E-409C-BE32-E72D297353CC}">
              <c16:uniqueId val="{00000001-8E37-406E-9070-E2B4A1594F9A}"/>
            </c:ext>
          </c:extLst>
        </c:ser>
        <c:ser>
          <c:idx val="2"/>
          <c:order val="2"/>
          <c:tx>
            <c:strRef>
              <c:f>Employement_Status!$C$3</c:f>
              <c:strCache>
                <c:ptCount val="1"/>
                <c:pt idx="0">
                  <c:v>Sum of No.Intern</c:v>
                </c:pt>
              </c:strCache>
            </c:strRef>
          </c:tx>
          <c:spPr>
            <a:solidFill>
              <a:schemeClr val="accent3"/>
            </a:solidFill>
            <a:ln>
              <a:noFill/>
            </a:ln>
            <a:effectLst/>
          </c:spPr>
          <c:invertIfNegative val="0"/>
          <c:cat>
            <c:strRef>
              <c:f>Employement_Status!$A$4</c:f>
              <c:strCache>
                <c:ptCount val="1"/>
                <c:pt idx="0">
                  <c:v>Total</c:v>
                </c:pt>
              </c:strCache>
            </c:strRef>
          </c:cat>
          <c:val>
            <c:numRef>
              <c:f>Employement_Status!$C$4</c:f>
              <c:numCache>
                <c:formatCode>General</c:formatCode>
                <c:ptCount val="1"/>
                <c:pt idx="0">
                  <c:v>23</c:v>
                </c:pt>
              </c:numCache>
            </c:numRef>
          </c:val>
          <c:extLst>
            <c:ext xmlns:c16="http://schemas.microsoft.com/office/drawing/2014/chart" uri="{C3380CC4-5D6E-409C-BE32-E72D297353CC}">
              <c16:uniqueId val="{00000002-8E37-406E-9070-E2B4A1594F9A}"/>
            </c:ext>
          </c:extLst>
        </c:ser>
        <c:ser>
          <c:idx val="3"/>
          <c:order val="3"/>
          <c:tx>
            <c:strRef>
              <c:f>Employement_Status!$D$3</c:f>
              <c:strCache>
                <c:ptCount val="1"/>
                <c:pt idx="0">
                  <c:v>Sum of No.Developers</c:v>
                </c:pt>
              </c:strCache>
            </c:strRef>
          </c:tx>
          <c:spPr>
            <a:solidFill>
              <a:schemeClr val="accent4"/>
            </a:solidFill>
            <a:ln>
              <a:noFill/>
            </a:ln>
            <a:effectLst/>
          </c:spPr>
          <c:invertIfNegative val="0"/>
          <c:cat>
            <c:strRef>
              <c:f>Employement_Status!$A$4</c:f>
              <c:strCache>
                <c:ptCount val="1"/>
                <c:pt idx="0">
                  <c:v>Total</c:v>
                </c:pt>
              </c:strCache>
            </c:strRef>
          </c:cat>
          <c:val>
            <c:numRef>
              <c:f>Employement_Status!$D$4</c:f>
              <c:numCache>
                <c:formatCode>General</c:formatCode>
                <c:ptCount val="1"/>
                <c:pt idx="0">
                  <c:v>25</c:v>
                </c:pt>
              </c:numCache>
            </c:numRef>
          </c:val>
          <c:extLst>
            <c:ext xmlns:c16="http://schemas.microsoft.com/office/drawing/2014/chart" uri="{C3380CC4-5D6E-409C-BE32-E72D297353CC}">
              <c16:uniqueId val="{00000003-8E37-406E-9070-E2B4A1594F9A}"/>
            </c:ext>
          </c:extLst>
        </c:ser>
        <c:ser>
          <c:idx val="4"/>
          <c:order val="4"/>
          <c:tx>
            <c:strRef>
              <c:f>Employement_Status!$E$3</c:f>
              <c:strCache>
                <c:ptCount val="1"/>
                <c:pt idx="0">
                  <c:v>Sum of No.Supports</c:v>
                </c:pt>
              </c:strCache>
            </c:strRef>
          </c:tx>
          <c:spPr>
            <a:solidFill>
              <a:schemeClr val="accent5"/>
            </a:solidFill>
            <a:ln>
              <a:noFill/>
            </a:ln>
            <a:effectLst/>
          </c:spPr>
          <c:invertIfNegative val="0"/>
          <c:cat>
            <c:strRef>
              <c:f>Employement_Status!$A$4</c:f>
              <c:strCache>
                <c:ptCount val="1"/>
                <c:pt idx="0">
                  <c:v>Total</c:v>
                </c:pt>
              </c:strCache>
            </c:strRef>
          </c:cat>
          <c:val>
            <c:numRef>
              <c:f>Employement_Status!$E$4</c:f>
              <c:numCache>
                <c:formatCode>General</c:formatCode>
                <c:ptCount val="1"/>
                <c:pt idx="0">
                  <c:v>25</c:v>
                </c:pt>
              </c:numCache>
            </c:numRef>
          </c:val>
          <c:extLst>
            <c:ext xmlns:c16="http://schemas.microsoft.com/office/drawing/2014/chart" uri="{C3380CC4-5D6E-409C-BE32-E72D297353CC}">
              <c16:uniqueId val="{00000004-8E37-406E-9070-E2B4A1594F9A}"/>
            </c:ext>
          </c:extLst>
        </c:ser>
        <c:dLbls>
          <c:dLblPos val="outEnd"/>
          <c:showLegendKey val="0"/>
          <c:showVal val="0"/>
          <c:showCatName val="0"/>
          <c:showSerName val="0"/>
          <c:showPercent val="0"/>
          <c:showBubbleSize val="0"/>
        </c:dLbls>
        <c:gapWidth val="219"/>
        <c:overlap val="-27"/>
        <c:axId val="1713902704"/>
        <c:axId val="1770646608"/>
      </c:barChart>
      <c:catAx>
        <c:axId val="17139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46608"/>
        <c:crosses val="autoZero"/>
        <c:auto val="1"/>
        <c:lblAlgn val="ctr"/>
        <c:lblOffset val="100"/>
        <c:noMultiLvlLbl val="0"/>
      </c:catAx>
      <c:valAx>
        <c:axId val="177064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0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[Patrick_Assignment_Data_Analytics.xlsx]Department_Performance!PivotTable24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Performance</a:t>
            </a:r>
            <a:r>
              <a:rPr lang="en-US" baseline="0"/>
              <a:t> </a:t>
            </a:r>
            <a:endParaRPr lang="en-US"/>
          </a:p>
        </c:rich>
      </c:tx>
      <c:layout>
        <c:manualLayout>
          <c:xMode val="edge"/>
          <c:yMode val="edge"/>
          <c:x val="0.1644374453193350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Department_Performance!$B$3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Department_Performance!$A$4:$A$9</c:f>
              <c:strCache>
                <c:ptCount val="5"/>
                <c:pt idx="0">
                  <c:v>Finance</c:v>
                </c:pt>
                <c:pt idx="1">
                  <c:v>HR</c:v>
                </c:pt>
                <c:pt idx="2">
                  <c:v>IT</c:v>
                </c:pt>
                <c:pt idx="3">
                  <c:v>Marketing</c:v>
                </c:pt>
                <c:pt idx="4">
                  <c:v>Operations</c:v>
                </c:pt>
              </c:strCache>
            </c:strRef>
          </c:cat>
          <c:val>
            <c:numRef>
              <c:f>Department_Performance!$B$4:$B$9</c:f>
              <c:numCache>
                <c:formatCode>General</c:formatCode>
                <c:ptCount val="5"/>
                <c:pt idx="0">
                  <c:v>22.746268656716421</c:v>
                </c:pt>
                <c:pt idx="1">
                  <c:v>25.333333333333332</c:v>
                </c:pt>
                <c:pt idx="2">
                  <c:v>11.800995024875622</c:v>
                </c:pt>
                <c:pt idx="3">
                  <c:v>23.422885572139304</c:v>
                </c:pt>
                <c:pt idx="4">
                  <c:v>16.696517412935322</c:v>
                </c:pt>
              </c:numCache>
            </c:numRef>
          </c:val>
          <c:extLst>
            <c:ext xmlns:c16="http://schemas.microsoft.com/office/drawing/2014/chart" uri="{C3380CC4-5D6E-409C-BE32-E72D297353CC}">
              <c16:uniqueId val="{00000000-D972-4072-8DC8-7B915EEB30B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[Patrick_Assignment_Data_Analytics.xlsx]Department vs Salary!PivotTable26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a:t>
            </a:r>
            <a:endParaRPr lang="en-US"/>
          </a:p>
        </c:rich>
      </c:tx>
      <c:layout>
        <c:manualLayout>
          <c:xMode val="edge"/>
          <c:yMode val="edge"/>
          <c:x val="0.26264591439688717"/>
          <c:y val="9.99609091416764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Salary'!$B$3</c:f>
              <c:strCache>
                <c:ptCount val="1"/>
                <c:pt idx="0">
                  <c:v>Sum of Salary Range(200K-400K)</c:v>
                </c:pt>
              </c:strCache>
            </c:strRef>
          </c:tx>
          <c:spPr>
            <a:solidFill>
              <a:schemeClr val="accent1"/>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Salary'!$B$4:$B$9</c:f>
              <c:numCache>
                <c:formatCode>General</c:formatCode>
                <c:ptCount val="5"/>
                <c:pt idx="0">
                  <c:v>8</c:v>
                </c:pt>
                <c:pt idx="1">
                  <c:v>9</c:v>
                </c:pt>
                <c:pt idx="2">
                  <c:v>1</c:v>
                </c:pt>
                <c:pt idx="3">
                  <c:v>7</c:v>
                </c:pt>
                <c:pt idx="4">
                  <c:v>5</c:v>
                </c:pt>
              </c:numCache>
            </c:numRef>
          </c:val>
          <c:extLst>
            <c:ext xmlns:c16="http://schemas.microsoft.com/office/drawing/2014/chart" uri="{C3380CC4-5D6E-409C-BE32-E72D297353CC}">
              <c16:uniqueId val="{00000000-0A90-4F00-B220-6FE1DE925BC6}"/>
            </c:ext>
          </c:extLst>
        </c:ser>
        <c:ser>
          <c:idx val="1"/>
          <c:order val="1"/>
          <c:tx>
            <c:strRef>
              <c:f>'Department vs Salary'!$C$3</c:f>
              <c:strCache>
                <c:ptCount val="1"/>
                <c:pt idx="0">
                  <c:v>Sum of Salary Range(400K-700K)</c:v>
                </c:pt>
              </c:strCache>
            </c:strRef>
          </c:tx>
          <c:spPr>
            <a:solidFill>
              <a:schemeClr val="accent2"/>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Salary'!$C$4:$C$9</c:f>
              <c:numCache>
                <c:formatCode>General</c:formatCode>
                <c:ptCount val="5"/>
                <c:pt idx="0">
                  <c:v>5</c:v>
                </c:pt>
                <c:pt idx="1">
                  <c:v>5</c:v>
                </c:pt>
                <c:pt idx="2">
                  <c:v>3</c:v>
                </c:pt>
                <c:pt idx="3">
                  <c:v>9</c:v>
                </c:pt>
                <c:pt idx="4">
                  <c:v>7</c:v>
                </c:pt>
              </c:numCache>
            </c:numRef>
          </c:val>
          <c:extLst>
            <c:ext xmlns:c16="http://schemas.microsoft.com/office/drawing/2014/chart" uri="{C3380CC4-5D6E-409C-BE32-E72D297353CC}">
              <c16:uniqueId val="{00000001-0A90-4F00-B220-6FE1DE925BC6}"/>
            </c:ext>
          </c:extLst>
        </c:ser>
        <c:ser>
          <c:idx val="2"/>
          <c:order val="2"/>
          <c:tx>
            <c:strRef>
              <c:f>'Department vs Salary'!$D$3</c:f>
              <c:strCache>
                <c:ptCount val="1"/>
                <c:pt idx="0">
                  <c:v>Sum of Salary Range(700K-1M)</c:v>
                </c:pt>
              </c:strCache>
            </c:strRef>
          </c:tx>
          <c:spPr>
            <a:solidFill>
              <a:schemeClr val="accent3"/>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Salary'!$D$4:$D$9</c:f>
              <c:numCache>
                <c:formatCode>General</c:formatCode>
                <c:ptCount val="5"/>
                <c:pt idx="0">
                  <c:v>8</c:v>
                </c:pt>
                <c:pt idx="1">
                  <c:v>6</c:v>
                </c:pt>
                <c:pt idx="2">
                  <c:v>6</c:v>
                </c:pt>
                <c:pt idx="3">
                  <c:v>9</c:v>
                </c:pt>
                <c:pt idx="4">
                  <c:v>5</c:v>
                </c:pt>
              </c:numCache>
            </c:numRef>
          </c:val>
          <c:extLst>
            <c:ext xmlns:c16="http://schemas.microsoft.com/office/drawing/2014/chart" uri="{C3380CC4-5D6E-409C-BE32-E72D297353CC}">
              <c16:uniqueId val="{00000002-0A90-4F00-B220-6FE1DE925BC6}"/>
            </c:ext>
          </c:extLst>
        </c:ser>
        <c:ser>
          <c:idx val="3"/>
          <c:order val="3"/>
          <c:tx>
            <c:strRef>
              <c:f>'Department vs Salary'!$E$3</c:f>
              <c:strCache>
                <c:ptCount val="1"/>
                <c:pt idx="0">
                  <c:v>Sum of Salary Range(M+)</c:v>
                </c:pt>
              </c:strCache>
            </c:strRef>
          </c:tx>
          <c:spPr>
            <a:solidFill>
              <a:schemeClr val="accent4"/>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Salary'!$E$4:$E$9</c:f>
              <c:numCache>
                <c:formatCode>General</c:formatCode>
                <c:ptCount val="5"/>
                <c:pt idx="0">
                  <c:v>6</c:v>
                </c:pt>
                <c:pt idx="1">
                  <c:v>10</c:v>
                </c:pt>
                <c:pt idx="2">
                  <c:v>4</c:v>
                </c:pt>
                <c:pt idx="3">
                  <c:v>4</c:v>
                </c:pt>
                <c:pt idx="4">
                  <c:v>3</c:v>
                </c:pt>
              </c:numCache>
            </c:numRef>
          </c:val>
          <c:extLst>
            <c:ext xmlns:c16="http://schemas.microsoft.com/office/drawing/2014/chart" uri="{C3380CC4-5D6E-409C-BE32-E72D297353CC}">
              <c16:uniqueId val="{00000003-0A90-4F00-B220-6FE1DE925BC6}"/>
            </c:ext>
          </c:extLst>
        </c:ser>
        <c:dLbls>
          <c:showLegendKey val="0"/>
          <c:showVal val="0"/>
          <c:showCatName val="0"/>
          <c:showSerName val="0"/>
          <c:showPercent val="0"/>
          <c:showBubbleSize val="0"/>
        </c:dLbls>
        <c:gapWidth val="219"/>
        <c:overlap val="-27"/>
        <c:axId val="1714200400"/>
        <c:axId val="1714199440"/>
      </c:barChart>
      <c:catAx>
        <c:axId val="171420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99440"/>
        <c:crosses val="autoZero"/>
        <c:auto val="1"/>
        <c:lblAlgn val="ctr"/>
        <c:lblOffset val="100"/>
        <c:noMultiLvlLbl val="0"/>
      </c:catAx>
      <c:valAx>
        <c:axId val="171419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0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[Patrick_Assignment_Data_Analytics.xlsx]Employment vs City!PivotTable27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vs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'Employment vs City'!$B$3</c:f>
              <c:strCache>
                <c:ptCount val="1"/>
                <c:pt idx="0">
                  <c:v>Total</c:v>
                </c:pt>
              </c:strCache>
            </c:strRef>
          </c:tx>
          <c:spPr>
            <a:solidFill>
              <a:schemeClr val="accent1"/>
            </a:solidFill>
            <a:ln>
              <a:noFill/>
            </a:ln>
            <a:effectLst/>
          </c:spPr>
          <c:invertIfNegative val="0"/>
          <c:cat>
            <c:multiLvlStrRef>
              <c:f>'Employment vs City'!$A$4:$A$28</c:f>
              <c:multiLvlStrCache>
                <c:ptCount val="20"/>
                <c:lvl>
                  <c:pt idx="0">
                    <c:v>Huye</c:v>
                  </c:pt>
                  <c:pt idx="1">
                    <c:v>Kigali</c:v>
                  </c:pt>
                  <c:pt idx="2">
                    <c:v>Musanze</c:v>
                  </c:pt>
                  <c:pt idx="3">
                    <c:v>Rubavu</c:v>
                  </c:pt>
                  <c:pt idx="4">
                    <c:v>Rusizi</c:v>
                  </c:pt>
                  <c:pt idx="5">
                    <c:v>Huye</c:v>
                  </c:pt>
                  <c:pt idx="6">
                    <c:v>Kigali</c:v>
                  </c:pt>
                  <c:pt idx="7">
                    <c:v>Musanze</c:v>
                  </c:pt>
                  <c:pt idx="8">
                    <c:v>Rubavu</c:v>
                  </c:pt>
                  <c:pt idx="9">
                    <c:v>Rusizi</c:v>
                  </c:pt>
                  <c:pt idx="10">
                    <c:v>Huye</c:v>
                  </c:pt>
                  <c:pt idx="11">
                    <c:v>Kigali</c:v>
                  </c:pt>
                  <c:pt idx="12">
                    <c:v>Musanze</c:v>
                  </c:pt>
                  <c:pt idx="13">
                    <c:v>Rubavu</c:v>
                  </c:pt>
                  <c:pt idx="14">
                    <c:v>Rusizi</c:v>
                  </c:pt>
                  <c:pt idx="15">
                    <c:v>Huye</c:v>
                  </c:pt>
                  <c:pt idx="16">
                    <c:v>Kigali</c:v>
                  </c:pt>
                  <c:pt idx="17">
                    <c:v>Musanze</c:v>
                  </c:pt>
                  <c:pt idx="18">
                    <c:v>Rubavu</c:v>
                  </c:pt>
                  <c:pt idx="19">
                    <c:v>Rusizi</c:v>
                  </c:pt>
                </c:lvl>
                <c:lvl>
                  <c:pt idx="0">
                    <c:v>Active</c:v>
                  </c:pt>
                  <c:pt idx="5">
                    <c:v>Contract</c:v>
                  </c:pt>
                  <c:pt idx="10">
                    <c:v>Intern</c:v>
                  </c:pt>
                  <c:pt idx="15">
                    <c:v>Resigned</c:v>
                  </c:pt>
                </c:lvl>
              </c:multiLvlStrCache>
            </c:multiLvlStrRef>
          </c:cat>
          <c:val>
            <c:numRef>
              <c:f>'Employment vs City'!$B$4:$B$28</c:f>
              <c:numCache>
                <c:formatCode>General</c:formatCode>
                <c:ptCount val="20"/>
                <c:pt idx="0">
                  <c:v>8</c:v>
                </c:pt>
                <c:pt idx="1">
                  <c:v>6</c:v>
                </c:pt>
                <c:pt idx="2">
                  <c:v>7</c:v>
                </c:pt>
                <c:pt idx="3">
                  <c:v>5</c:v>
                </c:pt>
                <c:pt idx="4">
                  <c:v>7</c:v>
                </c:pt>
                <c:pt idx="5">
                  <c:v>3</c:v>
                </c:pt>
                <c:pt idx="6">
                  <c:v>6</c:v>
                </c:pt>
                <c:pt idx="7">
                  <c:v>2</c:v>
                </c:pt>
                <c:pt idx="8">
                  <c:v>8</c:v>
                </c:pt>
                <c:pt idx="9">
                  <c:v>3</c:v>
                </c:pt>
                <c:pt idx="10">
                  <c:v>10</c:v>
                </c:pt>
                <c:pt idx="11">
                  <c:v>4</c:v>
                </c:pt>
                <c:pt idx="12">
                  <c:v>6</c:v>
                </c:pt>
                <c:pt idx="13">
                  <c:v>12</c:v>
                </c:pt>
                <c:pt idx="14">
                  <c:v>2</c:v>
                </c:pt>
                <c:pt idx="15">
                  <c:v>4</c:v>
                </c:pt>
                <c:pt idx="16">
                  <c:v>11</c:v>
                </c:pt>
                <c:pt idx="17">
                  <c:v>1</c:v>
                </c:pt>
                <c:pt idx="18">
                  <c:v>7</c:v>
                </c:pt>
                <c:pt idx="19">
                  <c:v>8</c:v>
                </c:pt>
              </c:numCache>
            </c:numRef>
          </c:val>
          <c:extLst>
            <c:ext xmlns:c16="http://schemas.microsoft.com/office/drawing/2014/chart" uri="{C3380CC4-5D6E-409C-BE32-E72D297353CC}">
              <c16:uniqueId val="{00000000-47C6-4492-B9D2-B45CEBDC9F87}"/>
            </c:ext>
          </c:extLst>
        </c:ser>
        <c:dLbls>
          <c:showLegendKey val="0"/>
          <c:showVal val="0"/>
          <c:showCatName val="0"/>
          <c:showSerName val="0"/>
          <c:showPercent val="0"/>
          <c:showBubbleSize val="0"/>
        </c:dLbls>
        <c:gapWidth val="219"/>
        <c:overlap val="-27"/>
        <c:axId val="1048805200"/>
        <c:axId val="1713901744"/>
      </c:barChart>
      <c:catAx>
        <c:axId val="10488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01744"/>
        <c:crosses val="autoZero"/>
        <c:auto val="1"/>
        <c:lblAlgn val="ctr"/>
        <c:lblOffset val="100"/>
        <c:noMultiLvlLbl val="0"/>
      </c:catAx>
      <c:valAx>
        <c:axId val="171390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8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[Patrick_Assignment_Data_Analytics.xlsx]Job_Category!PivotTable28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Category Analysis</a:t>
            </a:r>
            <a:endParaRPr lang="en-US"/>
          </a:p>
        </c:rich>
      </c:tx>
      <c:layout>
        <c:manualLayout>
          <c:xMode val="edge"/>
          <c:yMode val="edge"/>
          <c:x val="0.3083471128608923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23556430446193"/>
          <c:y val="0.12439596092155145"/>
          <c:w val="0.41147353455818025"/>
          <c:h val="0.68578922426363376"/>
        </c:manualLayout>
      </c:layout>
      <c:pieChart>
        <c:varyColors val="1"/>
        <c:ser>
          <c:idx val="0"/>
          <c:order val="0"/>
          <c:tx>
            <c:strRef>
              <c:f>Job_Category!$B$3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Job_Category!$A$4:$A$9</c:f>
              <c:strCache>
                <c:ptCount val="5"/>
                <c:pt idx="0">
                  <c:v>Analyst</c:v>
                </c:pt>
                <c:pt idx="1">
                  <c:v>Developer</c:v>
                </c:pt>
                <c:pt idx="2">
                  <c:v>Intern</c:v>
                </c:pt>
                <c:pt idx="3">
                  <c:v>Manager</c:v>
                </c:pt>
                <c:pt idx="4">
                  <c:v>Support</c:v>
                </c:pt>
              </c:strCache>
            </c:strRef>
          </c:cat>
          <c:val>
            <c:numRef>
              <c:f>Job_Category!$B$4:$B$9</c:f>
              <c:numCache>
                <c:formatCode>General</c:formatCode>
                <c:ptCount val="5"/>
                <c:pt idx="0">
                  <c:v>28</c:v>
                </c:pt>
                <c:pt idx="1">
                  <c:v>25</c:v>
                </c:pt>
                <c:pt idx="2">
                  <c:v>23</c:v>
                </c:pt>
                <c:pt idx="3">
                  <c:v>19</c:v>
                </c:pt>
                <c:pt idx="4">
                  <c:v>25</c:v>
                </c:pt>
              </c:numCache>
            </c:numRef>
          </c:val>
          <c:extLst>
            <c:ext xmlns:c16="http://schemas.microsoft.com/office/drawing/2014/chart" uri="{C3380CC4-5D6E-409C-BE32-E72D297353CC}">
              <c16:uniqueId val="{00000000-6444-428F-915A-CB5C04BB9EA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749999999999998"/>
          <c:y val="0.14575094779819187"/>
          <c:w val="0.1791666666666666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[Patrick_Assignment_Data_Analytics.xlsx]Gender_Comparison!PivotTable17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Gender_Comparison!$A$3</c:f>
              <c:strCache>
                <c:ptCount val="1"/>
                <c:pt idx="0">
                  <c:v>Sum of No.male</c:v>
                </c:pt>
              </c:strCache>
            </c:strRef>
          </c:tx>
          <c:spPr>
            <a:solidFill>
              <a:schemeClr val="accent1"/>
            </a:solidFill>
            <a:ln>
              <a:noFill/>
            </a:ln>
            <a:effectLst/>
          </c:spPr>
          <c:invertIfNegative val="0"/>
          <c:cat>
            <c:strRef>
              <c:f>Gender_Comparison!$A$4</c:f>
              <c:strCache>
                <c:ptCount val="1"/>
                <c:pt idx="0">
                  <c:v>Total</c:v>
                </c:pt>
              </c:strCache>
            </c:strRef>
          </c:cat>
          <c:val>
            <c:numRef>
              <c:f>Gender_Comparison!$A$4</c:f>
              <c:numCache>
                <c:formatCode>General</c:formatCode>
                <c:ptCount val="1"/>
                <c:pt idx="0">
                  <c:v>55</c:v>
                </c:pt>
              </c:numCache>
            </c:numRef>
          </c:val>
          <c:extLst>
            <c:ext xmlns:c16="http://schemas.microsoft.com/office/drawing/2014/chart" uri="{C3380CC4-5D6E-409C-BE32-E72D297353CC}">
              <c16:uniqueId val="{00000000-5DAF-4FD7-B5D4-C88D8B1A4A50}"/>
            </c:ext>
          </c:extLst>
        </c:ser>
        <c:ser>
          <c:idx val="1"/>
          <c:order val="1"/>
          <c:tx>
            <c:strRef>
              <c:f>Gender_Comparison!$B$3</c:f>
              <c:strCache>
                <c:ptCount val="1"/>
                <c:pt idx="0">
                  <c:v>Sum of No.Female</c:v>
                </c:pt>
              </c:strCache>
            </c:strRef>
          </c:tx>
          <c:spPr>
            <a:solidFill>
              <a:schemeClr val="accent2"/>
            </a:solidFill>
            <a:ln>
              <a:noFill/>
            </a:ln>
            <a:effectLst/>
          </c:spPr>
          <c:invertIfNegative val="0"/>
          <c:cat>
            <c:strRef>
              <c:f>Gender_Comparison!$A$4</c:f>
              <c:strCache>
                <c:ptCount val="1"/>
                <c:pt idx="0">
                  <c:v>Total</c:v>
                </c:pt>
              </c:strCache>
            </c:strRef>
          </c:cat>
          <c:val>
            <c:numRef>
              <c:f>Gender_Comparison!$B$4</c:f>
              <c:numCache>
                <c:formatCode>General</c:formatCode>
                <c:ptCount val="1"/>
                <c:pt idx="0">
                  <c:v>65</c:v>
                </c:pt>
              </c:numCache>
            </c:numRef>
          </c:val>
          <c:extLst>
            <c:ext xmlns:c16="http://schemas.microsoft.com/office/drawing/2014/chart" uri="{C3380CC4-5D6E-409C-BE32-E72D297353CC}">
              <c16:uniqueId val="{00000001-5DAF-4FD7-B5D4-C88D8B1A4A50}"/>
            </c:ext>
          </c:extLst>
        </c:ser>
        <c:dLbls>
          <c:showLegendKey val="0"/>
          <c:showVal val="0"/>
          <c:showCatName val="0"/>
          <c:showSerName val="0"/>
          <c:showPercent val="0"/>
          <c:showBubbleSize val="0"/>
        </c:dLbls>
        <c:gapWidth val="219"/>
        <c:overlap val="-27"/>
        <c:axId val="1052311968"/>
        <c:axId val="1776250064"/>
      </c:barChart>
      <c:catAx>
        <c:axId val="1052311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250064"/>
        <c:crosses val="autoZero"/>
        <c:auto val="1"/>
        <c:lblAlgn val="ctr"/>
        <c:lblOffset val="100"/>
        <c:noMultiLvlLbl val="0"/>
      </c:catAx>
      <c:valAx>
        <c:axId val="17762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311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[Patrick_Assignment_Data_Analytics.xlsx]Employement_Status!PivotTable18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Employement</a:t>
            </a:r>
            <a:r>
              <a:rPr lang="en-US" baseline="0"/>
              <a:t> Status</a:t>
            </a:r>
            <a:endParaRPr lang="en-US"/>
          </a:p>
        </c:rich>
      </c:tx>
      <c:layout>
        <c:manualLayout>
          <c:xMode val="edge"/>
          <c:yMode val="edge"/>
          <c:x val="0.20929155730533683"/>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Employement_Status!$A$3</c:f>
              <c:strCache>
                <c:ptCount val="1"/>
                <c:pt idx="0">
                  <c:v>Sum of No.Managers</c:v>
                </c:pt>
              </c:strCache>
            </c:strRef>
          </c:tx>
          <c:spPr>
            <a:solidFill>
              <a:schemeClr val="accent1"/>
            </a:solidFill>
            <a:ln>
              <a:noFill/>
            </a:ln>
            <a:effectLst/>
          </c:spPr>
          <c:invertIfNegative val="0"/>
          <c:cat>
            <c:strRef>
              <c:f>Employement_Status!$A$4</c:f>
              <c:strCache>
                <c:ptCount val="1"/>
                <c:pt idx="0">
                  <c:v>Total</c:v>
                </c:pt>
              </c:strCache>
            </c:strRef>
          </c:cat>
          <c:val>
            <c:numRef>
              <c:f>Employement_Status!$A$4</c:f>
              <c:numCache>
                <c:formatCode>General</c:formatCode>
                <c:ptCount val="1"/>
                <c:pt idx="0">
                  <c:v>19</c:v>
                </c:pt>
              </c:numCache>
            </c:numRef>
          </c:val>
          <c:extLst>
            <c:ext xmlns:c16="http://schemas.microsoft.com/office/drawing/2014/chart" uri="{C3380CC4-5D6E-409C-BE32-E72D297353CC}">
              <c16:uniqueId val="{00000000-B756-4232-A341-31D4C65C60CE}"/>
            </c:ext>
          </c:extLst>
        </c:ser>
        <c:ser>
          <c:idx val="1"/>
          <c:order val="1"/>
          <c:tx>
            <c:strRef>
              <c:f>Employement_Status!$B$3</c:f>
              <c:strCache>
                <c:ptCount val="1"/>
                <c:pt idx="0">
                  <c:v>Sum of No.Analysts</c:v>
                </c:pt>
              </c:strCache>
            </c:strRef>
          </c:tx>
          <c:spPr>
            <a:solidFill>
              <a:schemeClr val="accent2"/>
            </a:solidFill>
            <a:ln>
              <a:noFill/>
            </a:ln>
            <a:effectLst/>
          </c:spPr>
          <c:invertIfNegative val="0"/>
          <c:cat>
            <c:strRef>
              <c:f>Employement_Status!$A$4</c:f>
              <c:strCache>
                <c:ptCount val="1"/>
                <c:pt idx="0">
                  <c:v>Total</c:v>
                </c:pt>
              </c:strCache>
            </c:strRef>
          </c:cat>
          <c:val>
            <c:numRef>
              <c:f>Employement_Status!$B$4</c:f>
              <c:numCache>
                <c:formatCode>General</c:formatCode>
                <c:ptCount val="1"/>
                <c:pt idx="0">
                  <c:v>28</c:v>
                </c:pt>
              </c:numCache>
            </c:numRef>
          </c:val>
          <c:extLst>
            <c:ext xmlns:c16="http://schemas.microsoft.com/office/drawing/2014/chart" uri="{C3380CC4-5D6E-409C-BE32-E72D297353CC}">
              <c16:uniqueId val="{00000001-B756-4232-A341-31D4C65C60CE}"/>
            </c:ext>
          </c:extLst>
        </c:ser>
        <c:ser>
          <c:idx val="2"/>
          <c:order val="2"/>
          <c:tx>
            <c:strRef>
              <c:f>Employement_Status!$C$3</c:f>
              <c:strCache>
                <c:ptCount val="1"/>
                <c:pt idx="0">
                  <c:v>Sum of No.Intern</c:v>
                </c:pt>
              </c:strCache>
            </c:strRef>
          </c:tx>
          <c:spPr>
            <a:solidFill>
              <a:schemeClr val="accent3"/>
            </a:solidFill>
            <a:ln>
              <a:noFill/>
            </a:ln>
            <a:effectLst/>
          </c:spPr>
          <c:invertIfNegative val="0"/>
          <c:cat>
            <c:strRef>
              <c:f>Employement_Status!$A$4</c:f>
              <c:strCache>
                <c:ptCount val="1"/>
                <c:pt idx="0">
                  <c:v>Total</c:v>
                </c:pt>
              </c:strCache>
            </c:strRef>
          </c:cat>
          <c:val>
            <c:numRef>
              <c:f>Employement_Status!$C$4</c:f>
              <c:numCache>
                <c:formatCode>General</c:formatCode>
                <c:ptCount val="1"/>
                <c:pt idx="0">
                  <c:v>23</c:v>
                </c:pt>
              </c:numCache>
            </c:numRef>
          </c:val>
          <c:extLst>
            <c:ext xmlns:c16="http://schemas.microsoft.com/office/drawing/2014/chart" uri="{C3380CC4-5D6E-409C-BE32-E72D297353CC}">
              <c16:uniqueId val="{00000002-B756-4232-A341-31D4C65C60CE}"/>
            </c:ext>
          </c:extLst>
        </c:ser>
        <c:ser>
          <c:idx val="3"/>
          <c:order val="3"/>
          <c:tx>
            <c:strRef>
              <c:f>Employement_Status!$D$3</c:f>
              <c:strCache>
                <c:ptCount val="1"/>
                <c:pt idx="0">
                  <c:v>Sum of No.Developers</c:v>
                </c:pt>
              </c:strCache>
            </c:strRef>
          </c:tx>
          <c:spPr>
            <a:solidFill>
              <a:schemeClr val="accent4"/>
            </a:solidFill>
            <a:ln>
              <a:noFill/>
            </a:ln>
            <a:effectLst/>
          </c:spPr>
          <c:invertIfNegative val="0"/>
          <c:cat>
            <c:strRef>
              <c:f>Employement_Status!$A$4</c:f>
              <c:strCache>
                <c:ptCount val="1"/>
                <c:pt idx="0">
                  <c:v>Total</c:v>
                </c:pt>
              </c:strCache>
            </c:strRef>
          </c:cat>
          <c:val>
            <c:numRef>
              <c:f>Employement_Status!$D$4</c:f>
              <c:numCache>
                <c:formatCode>General</c:formatCode>
                <c:ptCount val="1"/>
                <c:pt idx="0">
                  <c:v>25</c:v>
                </c:pt>
              </c:numCache>
            </c:numRef>
          </c:val>
          <c:extLst>
            <c:ext xmlns:c16="http://schemas.microsoft.com/office/drawing/2014/chart" uri="{C3380CC4-5D6E-409C-BE32-E72D297353CC}">
              <c16:uniqueId val="{00000003-B756-4232-A341-31D4C65C60CE}"/>
            </c:ext>
          </c:extLst>
        </c:ser>
        <c:ser>
          <c:idx val="4"/>
          <c:order val="4"/>
          <c:tx>
            <c:strRef>
              <c:f>Employement_Status!$E$3</c:f>
              <c:strCache>
                <c:ptCount val="1"/>
                <c:pt idx="0">
                  <c:v>Sum of No.Supports</c:v>
                </c:pt>
              </c:strCache>
            </c:strRef>
          </c:tx>
          <c:spPr>
            <a:solidFill>
              <a:schemeClr val="accent5"/>
            </a:solidFill>
            <a:ln>
              <a:noFill/>
            </a:ln>
            <a:effectLst/>
          </c:spPr>
          <c:invertIfNegative val="0"/>
          <c:cat>
            <c:strRef>
              <c:f>Employement_Status!$A$4</c:f>
              <c:strCache>
                <c:ptCount val="1"/>
                <c:pt idx="0">
                  <c:v>Total</c:v>
                </c:pt>
              </c:strCache>
            </c:strRef>
          </c:cat>
          <c:val>
            <c:numRef>
              <c:f>Employement_Status!$E$4</c:f>
              <c:numCache>
                <c:formatCode>General</c:formatCode>
                <c:ptCount val="1"/>
                <c:pt idx="0">
                  <c:v>25</c:v>
                </c:pt>
              </c:numCache>
            </c:numRef>
          </c:val>
          <c:extLst>
            <c:ext xmlns:c16="http://schemas.microsoft.com/office/drawing/2014/chart" uri="{C3380CC4-5D6E-409C-BE32-E72D297353CC}">
              <c16:uniqueId val="{00000004-B756-4232-A341-31D4C65C60CE}"/>
            </c:ext>
          </c:extLst>
        </c:ser>
        <c:dLbls>
          <c:showLegendKey val="0"/>
          <c:showVal val="0"/>
          <c:showCatName val="0"/>
          <c:showSerName val="0"/>
          <c:showPercent val="0"/>
          <c:showBubbleSize val="0"/>
        </c:dLbls>
        <c:gapWidth val="219"/>
        <c:overlap val="-27"/>
        <c:axId val="1713902704"/>
        <c:axId val="1770646608"/>
      </c:barChart>
      <c:catAx>
        <c:axId val="171390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0646608"/>
        <c:crosses val="autoZero"/>
        <c:auto val="1"/>
        <c:lblAlgn val="ctr"/>
        <c:lblOffset val="100"/>
        <c:noMultiLvlLbl val="0"/>
      </c:catAx>
      <c:valAx>
        <c:axId val="177064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0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[Patrick_Assignment_Data_Analytics.xlsx]Department vs Salary!PivotTable26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Distribution</a:t>
            </a:r>
            <a:endParaRPr lang="en-US"/>
          </a:p>
        </c:rich>
      </c:tx>
      <c:layout>
        <c:manualLayout>
          <c:xMode val="edge"/>
          <c:yMode val="edge"/>
          <c:x val="0.26264591439688717"/>
          <c:y val="9.99609091416764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'Department vs Salary'!$B$3</c:f>
              <c:strCache>
                <c:ptCount val="1"/>
                <c:pt idx="0">
                  <c:v>Sum of Salary Range(200K-400K)</c:v>
                </c:pt>
              </c:strCache>
            </c:strRef>
          </c:tx>
          <c:spPr>
            <a:solidFill>
              <a:schemeClr val="accent1"/>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Salary'!$B$4:$B$9</c:f>
              <c:numCache>
                <c:formatCode>General</c:formatCode>
                <c:ptCount val="5"/>
                <c:pt idx="0">
                  <c:v>8</c:v>
                </c:pt>
                <c:pt idx="1">
                  <c:v>9</c:v>
                </c:pt>
                <c:pt idx="2">
                  <c:v>1</c:v>
                </c:pt>
                <c:pt idx="3">
                  <c:v>7</c:v>
                </c:pt>
                <c:pt idx="4">
                  <c:v>5</c:v>
                </c:pt>
              </c:numCache>
            </c:numRef>
          </c:val>
          <c:extLst>
            <c:ext xmlns:c16="http://schemas.microsoft.com/office/drawing/2014/chart" uri="{C3380CC4-5D6E-409C-BE32-E72D297353CC}">
              <c16:uniqueId val="{00000000-CE99-44D7-A206-FB9676FD2481}"/>
            </c:ext>
          </c:extLst>
        </c:ser>
        <c:ser>
          <c:idx val="1"/>
          <c:order val="1"/>
          <c:tx>
            <c:strRef>
              <c:f>'Department vs Salary'!$C$3</c:f>
              <c:strCache>
                <c:ptCount val="1"/>
                <c:pt idx="0">
                  <c:v>Sum of Salary Range(400K-700K)</c:v>
                </c:pt>
              </c:strCache>
            </c:strRef>
          </c:tx>
          <c:spPr>
            <a:solidFill>
              <a:schemeClr val="accent2"/>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Salary'!$C$4:$C$9</c:f>
              <c:numCache>
                <c:formatCode>General</c:formatCode>
                <c:ptCount val="5"/>
                <c:pt idx="0">
                  <c:v>5</c:v>
                </c:pt>
                <c:pt idx="1">
                  <c:v>5</c:v>
                </c:pt>
                <c:pt idx="2">
                  <c:v>3</c:v>
                </c:pt>
                <c:pt idx="3">
                  <c:v>9</c:v>
                </c:pt>
                <c:pt idx="4">
                  <c:v>7</c:v>
                </c:pt>
              </c:numCache>
            </c:numRef>
          </c:val>
          <c:extLst>
            <c:ext xmlns:c16="http://schemas.microsoft.com/office/drawing/2014/chart" uri="{C3380CC4-5D6E-409C-BE32-E72D297353CC}">
              <c16:uniqueId val="{00000001-CE99-44D7-A206-FB9676FD2481}"/>
            </c:ext>
          </c:extLst>
        </c:ser>
        <c:ser>
          <c:idx val="2"/>
          <c:order val="2"/>
          <c:tx>
            <c:strRef>
              <c:f>'Department vs Salary'!$D$3</c:f>
              <c:strCache>
                <c:ptCount val="1"/>
                <c:pt idx="0">
                  <c:v>Sum of Salary Range(700K-1M)</c:v>
                </c:pt>
              </c:strCache>
            </c:strRef>
          </c:tx>
          <c:spPr>
            <a:solidFill>
              <a:schemeClr val="accent3"/>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Salary'!$D$4:$D$9</c:f>
              <c:numCache>
                <c:formatCode>General</c:formatCode>
                <c:ptCount val="5"/>
                <c:pt idx="0">
                  <c:v>8</c:v>
                </c:pt>
                <c:pt idx="1">
                  <c:v>6</c:v>
                </c:pt>
                <c:pt idx="2">
                  <c:v>6</c:v>
                </c:pt>
                <c:pt idx="3">
                  <c:v>9</c:v>
                </c:pt>
                <c:pt idx="4">
                  <c:v>5</c:v>
                </c:pt>
              </c:numCache>
            </c:numRef>
          </c:val>
          <c:extLst>
            <c:ext xmlns:c16="http://schemas.microsoft.com/office/drawing/2014/chart" uri="{C3380CC4-5D6E-409C-BE32-E72D297353CC}">
              <c16:uniqueId val="{00000002-CE99-44D7-A206-FB9676FD2481}"/>
            </c:ext>
          </c:extLst>
        </c:ser>
        <c:ser>
          <c:idx val="3"/>
          <c:order val="3"/>
          <c:tx>
            <c:strRef>
              <c:f>'Department vs Salary'!$E$3</c:f>
              <c:strCache>
                <c:ptCount val="1"/>
                <c:pt idx="0">
                  <c:v>Sum of Salary Range(M+)</c:v>
                </c:pt>
              </c:strCache>
            </c:strRef>
          </c:tx>
          <c:spPr>
            <a:solidFill>
              <a:schemeClr val="accent4"/>
            </a:solidFill>
            <a:ln>
              <a:noFill/>
            </a:ln>
            <a:effectLst/>
          </c:spPr>
          <c:invertIfNegative val="0"/>
          <c:cat>
            <c:strRef>
              <c:f>'Department vs Salary'!$A$4:$A$9</c:f>
              <c:strCache>
                <c:ptCount val="5"/>
                <c:pt idx="0">
                  <c:v>Finance</c:v>
                </c:pt>
                <c:pt idx="1">
                  <c:v>HR</c:v>
                </c:pt>
                <c:pt idx="2">
                  <c:v>IT</c:v>
                </c:pt>
                <c:pt idx="3">
                  <c:v>Marketing</c:v>
                </c:pt>
                <c:pt idx="4">
                  <c:v>Operations</c:v>
                </c:pt>
              </c:strCache>
            </c:strRef>
          </c:cat>
          <c:val>
            <c:numRef>
              <c:f>'Department vs Salary'!$E$4:$E$9</c:f>
              <c:numCache>
                <c:formatCode>General</c:formatCode>
                <c:ptCount val="5"/>
                <c:pt idx="0">
                  <c:v>6</c:v>
                </c:pt>
                <c:pt idx="1">
                  <c:v>10</c:v>
                </c:pt>
                <c:pt idx="2">
                  <c:v>4</c:v>
                </c:pt>
                <c:pt idx="3">
                  <c:v>4</c:v>
                </c:pt>
                <c:pt idx="4">
                  <c:v>3</c:v>
                </c:pt>
              </c:numCache>
            </c:numRef>
          </c:val>
          <c:extLst>
            <c:ext xmlns:c16="http://schemas.microsoft.com/office/drawing/2014/chart" uri="{C3380CC4-5D6E-409C-BE32-E72D297353CC}">
              <c16:uniqueId val="{00000003-CE99-44D7-A206-FB9676FD2481}"/>
            </c:ext>
          </c:extLst>
        </c:ser>
        <c:dLbls>
          <c:showLegendKey val="0"/>
          <c:showVal val="0"/>
          <c:showCatName val="0"/>
          <c:showSerName val="0"/>
          <c:showPercent val="0"/>
          <c:showBubbleSize val="0"/>
        </c:dLbls>
        <c:gapWidth val="219"/>
        <c:overlap val="-27"/>
        <c:axId val="1714200400"/>
        <c:axId val="1714199440"/>
      </c:barChart>
      <c:catAx>
        <c:axId val="171420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199440"/>
        <c:crosses val="autoZero"/>
        <c:auto val="1"/>
        <c:lblAlgn val="ctr"/>
        <c:lblOffset val="100"/>
        <c:noMultiLvlLbl val="0"/>
      </c:catAx>
      <c:valAx>
        <c:axId val="1714199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20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[Patrick_Assignment_Data_Analytics.xlsx]Employment vs City!PivotTable27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Employment</a:t>
            </a:r>
            <a:r>
              <a:rPr lang="en-US" baseline="0"/>
              <a:t> vs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'Employment vs City'!$B$3</c:f>
              <c:strCache>
                <c:ptCount val="1"/>
                <c:pt idx="0">
                  <c:v>Total</c:v>
                </c:pt>
              </c:strCache>
            </c:strRef>
          </c:tx>
          <c:spPr>
            <a:solidFill>
              <a:schemeClr val="accent1"/>
            </a:solidFill>
            <a:ln>
              <a:noFill/>
            </a:ln>
            <a:effectLst/>
          </c:spPr>
          <c:invertIfNegative val="0"/>
          <c:cat>
            <c:multiLvlStrRef>
              <c:f>'Employment vs City'!$A$4:$A$28</c:f>
              <c:multiLvlStrCache>
                <c:ptCount val="20"/>
                <c:lvl>
                  <c:pt idx="0">
                    <c:v>Huye</c:v>
                  </c:pt>
                  <c:pt idx="1">
                    <c:v>Kigali</c:v>
                  </c:pt>
                  <c:pt idx="2">
                    <c:v>Musanze</c:v>
                  </c:pt>
                  <c:pt idx="3">
                    <c:v>Rubavu</c:v>
                  </c:pt>
                  <c:pt idx="4">
                    <c:v>Rusizi</c:v>
                  </c:pt>
                  <c:pt idx="5">
                    <c:v>Huye</c:v>
                  </c:pt>
                  <c:pt idx="6">
                    <c:v>Kigali</c:v>
                  </c:pt>
                  <c:pt idx="7">
                    <c:v>Musanze</c:v>
                  </c:pt>
                  <c:pt idx="8">
                    <c:v>Rubavu</c:v>
                  </c:pt>
                  <c:pt idx="9">
                    <c:v>Rusizi</c:v>
                  </c:pt>
                  <c:pt idx="10">
                    <c:v>Huye</c:v>
                  </c:pt>
                  <c:pt idx="11">
                    <c:v>Kigali</c:v>
                  </c:pt>
                  <c:pt idx="12">
                    <c:v>Musanze</c:v>
                  </c:pt>
                  <c:pt idx="13">
                    <c:v>Rubavu</c:v>
                  </c:pt>
                  <c:pt idx="14">
                    <c:v>Rusizi</c:v>
                  </c:pt>
                  <c:pt idx="15">
                    <c:v>Huye</c:v>
                  </c:pt>
                  <c:pt idx="16">
                    <c:v>Kigali</c:v>
                  </c:pt>
                  <c:pt idx="17">
                    <c:v>Musanze</c:v>
                  </c:pt>
                  <c:pt idx="18">
                    <c:v>Rubavu</c:v>
                  </c:pt>
                  <c:pt idx="19">
                    <c:v>Rusizi</c:v>
                  </c:pt>
                </c:lvl>
                <c:lvl>
                  <c:pt idx="0">
                    <c:v>Active</c:v>
                  </c:pt>
                  <c:pt idx="5">
                    <c:v>Contract</c:v>
                  </c:pt>
                  <c:pt idx="10">
                    <c:v>Intern</c:v>
                  </c:pt>
                  <c:pt idx="15">
                    <c:v>Resigned</c:v>
                  </c:pt>
                </c:lvl>
              </c:multiLvlStrCache>
            </c:multiLvlStrRef>
          </c:cat>
          <c:val>
            <c:numRef>
              <c:f>'Employment vs City'!$B$4:$B$28</c:f>
              <c:numCache>
                <c:formatCode>General</c:formatCode>
                <c:ptCount val="20"/>
                <c:pt idx="0">
                  <c:v>8</c:v>
                </c:pt>
                <c:pt idx="1">
                  <c:v>6</c:v>
                </c:pt>
                <c:pt idx="2">
                  <c:v>7</c:v>
                </c:pt>
                <c:pt idx="3">
                  <c:v>5</c:v>
                </c:pt>
                <c:pt idx="4">
                  <c:v>7</c:v>
                </c:pt>
                <c:pt idx="5">
                  <c:v>3</c:v>
                </c:pt>
                <c:pt idx="6">
                  <c:v>6</c:v>
                </c:pt>
                <c:pt idx="7">
                  <c:v>2</c:v>
                </c:pt>
                <c:pt idx="8">
                  <c:v>8</c:v>
                </c:pt>
                <c:pt idx="9">
                  <c:v>3</c:v>
                </c:pt>
                <c:pt idx="10">
                  <c:v>10</c:v>
                </c:pt>
                <c:pt idx="11">
                  <c:v>4</c:v>
                </c:pt>
                <c:pt idx="12">
                  <c:v>6</c:v>
                </c:pt>
                <c:pt idx="13">
                  <c:v>12</c:v>
                </c:pt>
                <c:pt idx="14">
                  <c:v>2</c:v>
                </c:pt>
                <c:pt idx="15">
                  <c:v>4</c:v>
                </c:pt>
                <c:pt idx="16">
                  <c:v>11</c:v>
                </c:pt>
                <c:pt idx="17">
                  <c:v>1</c:v>
                </c:pt>
                <c:pt idx="18">
                  <c:v>7</c:v>
                </c:pt>
                <c:pt idx="19">
                  <c:v>8</c:v>
                </c:pt>
              </c:numCache>
            </c:numRef>
          </c:val>
          <c:extLst>
            <c:ext xmlns:c16="http://schemas.microsoft.com/office/drawing/2014/chart" uri="{C3380CC4-5D6E-409C-BE32-E72D297353CC}">
              <c16:uniqueId val="{00000000-CB16-448E-85DB-A1BAF423CAE6}"/>
            </c:ext>
          </c:extLst>
        </c:ser>
        <c:dLbls>
          <c:showLegendKey val="0"/>
          <c:showVal val="0"/>
          <c:showCatName val="0"/>
          <c:showSerName val="0"/>
          <c:showPercent val="0"/>
          <c:showBubbleSize val="0"/>
        </c:dLbls>
        <c:gapWidth val="219"/>
        <c:overlap val="-27"/>
        <c:axId val="1048805200"/>
        <c:axId val="1713901744"/>
      </c:barChart>
      <c:catAx>
        <c:axId val="10488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901744"/>
        <c:crosses val="autoZero"/>
        <c:auto val="1"/>
        <c:lblAlgn val="ctr"/>
        <c:lblOffset val="100"/>
        <c:noMultiLvlLbl val="0"/>
      </c:catAx>
      <c:valAx>
        <c:axId val="171390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80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[Patrick_Assignment_Data_Analytics.xlsx]Job_Category!PivotTable28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Category Analysis</a:t>
            </a:r>
            <a:endParaRPr lang="en-US"/>
          </a:p>
        </c:rich>
      </c:tx>
      <c:layout>
        <c:manualLayout>
          <c:xMode val="edge"/>
          <c:yMode val="edge"/>
          <c:x val="0.3083471128608923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7.7487106874798525E-2"/>
          <c:y val="0.22057961504811899"/>
          <c:w val="0.41147353455818025"/>
          <c:h val="0.68578922426363376"/>
        </c:manualLayout>
      </c:layout>
      <c:pieChart>
        <c:varyColors val="1"/>
        <c:ser>
          <c:idx val="0"/>
          <c:order val="0"/>
          <c:tx>
            <c:strRef>
              <c:f>Job_Category!$B$3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30-4D5B-9F2B-003B4C204A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30-4D5B-9F2B-003B4C204A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30-4D5B-9F2B-003B4C204A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530-4D5B-9F2B-003B4C204A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530-4D5B-9F2B-003B4C204A17}"/>
              </c:ext>
            </c:extLst>
          </c:dPt>
          <c:cat>
            <c:strRef>
              <c:f>Job_Category!$A$4:$A$9</c:f>
              <c:strCache>
                <c:ptCount val="5"/>
                <c:pt idx="0">
                  <c:v>Analyst</c:v>
                </c:pt>
                <c:pt idx="1">
                  <c:v>Developer</c:v>
                </c:pt>
                <c:pt idx="2">
                  <c:v>Intern</c:v>
                </c:pt>
                <c:pt idx="3">
                  <c:v>Manager</c:v>
                </c:pt>
                <c:pt idx="4">
                  <c:v>Support</c:v>
                </c:pt>
              </c:strCache>
            </c:strRef>
          </c:cat>
          <c:val>
            <c:numRef>
              <c:f>Job_Category!$B$4:$B$9</c:f>
              <c:numCache>
                <c:formatCode>General</c:formatCode>
                <c:ptCount val="5"/>
                <c:pt idx="0">
                  <c:v>28</c:v>
                </c:pt>
                <c:pt idx="1">
                  <c:v>25</c:v>
                </c:pt>
                <c:pt idx="2">
                  <c:v>23</c:v>
                </c:pt>
                <c:pt idx="3">
                  <c:v>19</c:v>
                </c:pt>
                <c:pt idx="4">
                  <c:v>25</c:v>
                </c:pt>
              </c:numCache>
            </c:numRef>
          </c:val>
          <c:extLst>
            <c:ext xmlns:c16="http://schemas.microsoft.com/office/drawing/2014/chart" uri="{C3380CC4-5D6E-409C-BE32-E72D297353CC}">
              <c16:uniqueId val="{0000000A-D530-4D5B-9F2B-003B4C204A1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749999999999998"/>
          <c:y val="0.14575094779819187"/>
          <c:w val="0.1791666666666666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[Patrick_Assignment_Data_Analytics.xlsx]Department_Performance!PivotTable24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 Performance</a:t>
            </a:r>
            <a:r>
              <a:rPr lang="en-US" baseline="0"/>
              <a:t> </a:t>
            </a:r>
            <a:endParaRPr lang="en-US"/>
          </a:p>
        </c:rich>
      </c:tx>
      <c:layout>
        <c:manualLayout>
          <c:xMode val="edge"/>
          <c:yMode val="edge"/>
          <c:x val="0.1644374453193350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Department_Performance!$B$3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5A-4F59-9E5F-A0E6BDDB84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5A-4F59-9E5F-A0E6BDDB84B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5A-4F59-9E5F-A0E6BDDB84B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5A-4F59-9E5F-A0E6BDDB84B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5A-4F59-9E5F-A0E6BDDB84B0}"/>
              </c:ext>
            </c:extLst>
          </c:dPt>
          <c:cat>
            <c:strRef>
              <c:f>Department_Performance!$A$4:$A$9</c:f>
              <c:strCache>
                <c:ptCount val="5"/>
                <c:pt idx="0">
                  <c:v>Finance</c:v>
                </c:pt>
                <c:pt idx="1">
                  <c:v>HR</c:v>
                </c:pt>
                <c:pt idx="2">
                  <c:v>IT</c:v>
                </c:pt>
                <c:pt idx="3">
                  <c:v>Marketing</c:v>
                </c:pt>
                <c:pt idx="4">
                  <c:v>Operations</c:v>
                </c:pt>
              </c:strCache>
            </c:strRef>
          </c:cat>
          <c:val>
            <c:numRef>
              <c:f>Department_Performance!$B$4:$B$9</c:f>
              <c:numCache>
                <c:formatCode>General</c:formatCode>
                <c:ptCount val="5"/>
                <c:pt idx="0">
                  <c:v>22.746268656716421</c:v>
                </c:pt>
                <c:pt idx="1">
                  <c:v>25.333333333333332</c:v>
                </c:pt>
                <c:pt idx="2">
                  <c:v>11.800995024875622</c:v>
                </c:pt>
                <c:pt idx="3">
                  <c:v>23.422885572139304</c:v>
                </c:pt>
                <c:pt idx="4">
                  <c:v>16.696517412935322</c:v>
                </c:pt>
              </c:numCache>
            </c:numRef>
          </c:val>
          <c:extLst>
            <c:ext xmlns:c16="http://schemas.microsoft.com/office/drawing/2014/chart" uri="{C3380CC4-5D6E-409C-BE32-E72D297353CC}">
              <c16:uniqueId val="{0000000A-C95A-4F59-9E5F-A0E6BDDB84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9.xml"/><Relationship Id="rId7" Type="http://schemas.openxmlformats.org/officeDocument/2006/relationships/image" Target="../media/image2.sv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1.png"/><Relationship Id="rId5" Type="http://schemas.openxmlformats.org/officeDocument/2006/relationships/chart" Target="../charts/chart11.xml"/><Relationship Id="rId10" Type="http://schemas.openxmlformats.org/officeDocument/2006/relationships/image" Target="../media/image5.png"/><Relationship Id="rId4" Type="http://schemas.openxmlformats.org/officeDocument/2006/relationships/chart" Target="../charts/chart10.xml"/><Relationship Id="rId9" Type="http://schemas.openxmlformats.org/officeDocument/2006/relationships/image" Target="../media/image4.svg"/></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2</xdr:col>
      <xdr:colOff>15240</xdr:colOff>
      <xdr:row>2</xdr:row>
      <xdr:rowOff>7620</xdr:rowOff>
    </xdr:from>
    <xdr:to>
      <xdr:col>9</xdr:col>
      <xdr:colOff>358140</xdr:colOff>
      <xdr:row>12</xdr:row>
      <xdr:rowOff>0</xdr:rowOff>
    </xdr:to>
    <xdr:graphicFrame macro="">
      <xdr:nvGraphicFramePr>
        <xdr:cNvPr id="2" name="Chart 1">
          <a:extLst>
            <a:ext uri="{FF2B5EF4-FFF2-40B4-BE49-F238E27FC236}">
              <a16:creationId xmlns:a16="http://schemas.microsoft.com/office/drawing/2014/main" id="{B02DEC03-9F1B-19C4-C7EF-8D9AF7367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1120140</xdr:colOff>
      <xdr:row>6</xdr:row>
      <xdr:rowOff>11430</xdr:rowOff>
    </xdr:from>
    <xdr:to>
      <xdr:col>4</xdr:col>
      <xdr:colOff>7620</xdr:colOff>
      <xdr:row>21</xdr:row>
      <xdr:rowOff>11430</xdr:rowOff>
    </xdr:to>
    <xdr:graphicFrame macro="">
      <xdr:nvGraphicFramePr>
        <xdr:cNvPr id="2" name="Chart 1">
          <a:extLst>
            <a:ext uri="{FF2B5EF4-FFF2-40B4-BE49-F238E27FC236}">
              <a16:creationId xmlns:a16="http://schemas.microsoft.com/office/drawing/2014/main" id="{1A4C2BE3-B6D6-651E-3418-89AA6A7F9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xdr:colOff>
      <xdr:row>2</xdr:row>
      <xdr:rowOff>3810</xdr:rowOff>
    </xdr:from>
    <xdr:to>
      <xdr:col>9</xdr:col>
      <xdr:colOff>320040</xdr:colOff>
      <xdr:row>16</xdr:row>
      <xdr:rowOff>76200</xdr:rowOff>
    </xdr:to>
    <xdr:graphicFrame macro="">
      <xdr:nvGraphicFramePr>
        <xdr:cNvPr id="2" name="Chart 1">
          <a:extLst>
            <a:ext uri="{FF2B5EF4-FFF2-40B4-BE49-F238E27FC236}">
              <a16:creationId xmlns:a16="http://schemas.microsoft.com/office/drawing/2014/main" id="{49268B6C-3406-703B-90D8-59EA318B5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1</xdr:row>
      <xdr:rowOff>171450</xdr:rowOff>
    </xdr:from>
    <xdr:to>
      <xdr:col>13</xdr:col>
      <xdr:colOff>327660</xdr:colOff>
      <xdr:row>16</xdr:row>
      <xdr:rowOff>171450</xdr:rowOff>
    </xdr:to>
    <xdr:graphicFrame macro="">
      <xdr:nvGraphicFramePr>
        <xdr:cNvPr id="2" name="Chart 1">
          <a:extLst>
            <a:ext uri="{FF2B5EF4-FFF2-40B4-BE49-F238E27FC236}">
              <a16:creationId xmlns:a16="http://schemas.microsoft.com/office/drawing/2014/main" id="{C0232A88-6631-CA33-68B0-2354EA04B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3810</xdr:rowOff>
    </xdr:from>
    <xdr:to>
      <xdr:col>10</xdr:col>
      <xdr:colOff>426720</xdr:colOff>
      <xdr:row>17</xdr:row>
      <xdr:rowOff>3810</xdr:rowOff>
    </xdr:to>
    <xdr:graphicFrame macro="">
      <xdr:nvGraphicFramePr>
        <xdr:cNvPr id="2" name="Chart 1">
          <a:extLst>
            <a:ext uri="{FF2B5EF4-FFF2-40B4-BE49-F238E27FC236}">
              <a16:creationId xmlns:a16="http://schemas.microsoft.com/office/drawing/2014/main" id="{E7251C5A-64F5-CA18-9AA8-655ED77F7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15240</xdr:colOff>
      <xdr:row>2</xdr:row>
      <xdr:rowOff>3810</xdr:rowOff>
    </xdr:from>
    <xdr:to>
      <xdr:col>9</xdr:col>
      <xdr:colOff>320040</xdr:colOff>
      <xdr:row>17</xdr:row>
      <xdr:rowOff>144780</xdr:rowOff>
    </xdr:to>
    <xdr:graphicFrame macro="">
      <xdr:nvGraphicFramePr>
        <xdr:cNvPr id="2" name="Chart 1">
          <a:extLst>
            <a:ext uri="{FF2B5EF4-FFF2-40B4-BE49-F238E27FC236}">
              <a16:creationId xmlns:a16="http://schemas.microsoft.com/office/drawing/2014/main" id="{579CE09F-850F-A336-542C-B434E5C8C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22860</xdr:colOff>
      <xdr:row>38</xdr:row>
      <xdr:rowOff>441961</xdr:rowOff>
    </xdr:from>
    <xdr:to>
      <xdr:col>20</xdr:col>
      <xdr:colOff>22860</xdr:colOff>
      <xdr:row>52</xdr:row>
      <xdr:rowOff>45721</xdr:rowOff>
    </xdr:to>
    <mc:AlternateContent xmlns:mc="http://schemas.openxmlformats.org/markup-compatibility/2006">
      <mc:Choice xmlns:a14="http://schemas.microsoft.com/office/drawing/2010/main" Requires="a14">
        <xdr:graphicFrame macro="">
          <xdr:nvGraphicFramePr>
            <xdr:cNvPr id="19" name="Product Name">
              <a:extLst>
                <a:ext uri="{FF2B5EF4-FFF2-40B4-BE49-F238E27FC236}">
                  <a16:creationId xmlns:a16="http://schemas.microsoft.com/office/drawing/2014/main" id="{E9F4661D-E0E1-ADF4-5577-8E9073E615B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10690860" y="7391401"/>
              <a:ext cx="1828800" cy="2446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487680</xdr:colOff>
      <xdr:row>3</xdr:row>
      <xdr:rowOff>7620</xdr:rowOff>
    </xdr:from>
    <xdr:to>
      <xdr:col>24</xdr:col>
      <xdr:colOff>53340</xdr:colOff>
      <xdr:row>53</xdr:row>
      <xdr:rowOff>121920</xdr:rowOff>
    </xdr:to>
    <xdr:grpSp>
      <xdr:nvGrpSpPr>
        <xdr:cNvPr id="27" name="Group 26">
          <a:extLst>
            <a:ext uri="{FF2B5EF4-FFF2-40B4-BE49-F238E27FC236}">
              <a16:creationId xmlns:a16="http://schemas.microsoft.com/office/drawing/2014/main" id="{1B217FCB-9B98-5B78-3C5E-7F2777975F26}"/>
            </a:ext>
          </a:extLst>
        </xdr:cNvPr>
        <xdr:cNvGrpSpPr/>
      </xdr:nvGrpSpPr>
      <xdr:grpSpPr>
        <a:xfrm>
          <a:off x="3002280" y="556260"/>
          <a:ext cx="11986260" cy="9540240"/>
          <a:chOff x="594360" y="259080"/>
          <a:chExt cx="11986260" cy="9540240"/>
        </a:xfrm>
      </xdr:grpSpPr>
      <xdr:grpSp>
        <xdr:nvGrpSpPr>
          <xdr:cNvPr id="24" name="Group 23">
            <a:extLst>
              <a:ext uri="{FF2B5EF4-FFF2-40B4-BE49-F238E27FC236}">
                <a16:creationId xmlns:a16="http://schemas.microsoft.com/office/drawing/2014/main" id="{966826BA-4EC6-D068-5634-D4ADC0D6A4C6}"/>
              </a:ext>
            </a:extLst>
          </xdr:cNvPr>
          <xdr:cNvGrpSpPr/>
        </xdr:nvGrpSpPr>
        <xdr:grpSpPr>
          <a:xfrm>
            <a:off x="594360" y="259080"/>
            <a:ext cx="11986260" cy="9540240"/>
            <a:chOff x="548640" y="289560"/>
            <a:chExt cx="11986260" cy="9540240"/>
          </a:xfrm>
        </xdr:grpSpPr>
        <xdr:sp macro="" textlink="">
          <xdr:nvSpPr>
            <xdr:cNvPr id="2" name="Rectangle 1">
              <a:extLst>
                <a:ext uri="{FF2B5EF4-FFF2-40B4-BE49-F238E27FC236}">
                  <a16:creationId xmlns:a16="http://schemas.microsoft.com/office/drawing/2014/main" id="{13A14ABF-9565-4B52-058E-0EBAA94A2CBA}"/>
                </a:ext>
              </a:extLst>
            </xdr:cNvPr>
            <xdr:cNvSpPr/>
          </xdr:nvSpPr>
          <xdr:spPr>
            <a:xfrm>
              <a:off x="548640" y="289560"/>
              <a:ext cx="11986260" cy="518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latin typeface="Times New Roman" panose="02020603050405020304" pitchFamily="18" charset="0"/>
                  <a:cs typeface="Times New Roman" panose="02020603050405020304" pitchFamily="18" charset="0"/>
                </a:rPr>
                <a:t>Sales Summary Dash Board</a:t>
              </a:r>
            </a:p>
          </xdr:txBody>
        </xdr:sp>
        <xdr:graphicFrame macro="">
          <xdr:nvGraphicFramePr>
            <xdr:cNvPr id="3" name="Chart 2">
              <a:extLst>
                <a:ext uri="{FF2B5EF4-FFF2-40B4-BE49-F238E27FC236}">
                  <a16:creationId xmlns:a16="http://schemas.microsoft.com/office/drawing/2014/main" id="{41703895-16F4-4C51-84B9-FDE43AAFAB56}"/>
                </a:ext>
              </a:extLst>
            </xdr:cNvPr>
            <xdr:cNvGraphicFramePr>
              <a:graphicFrameLocks/>
            </xdr:cNvGraphicFramePr>
          </xdr:nvGraphicFramePr>
          <xdr:xfrm>
            <a:off x="4770120" y="815340"/>
            <a:ext cx="5905500" cy="319278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3EEAB3A7-6041-4C93-BF14-2503EBABC8AD}"/>
                </a:ext>
              </a:extLst>
            </xdr:cNvPr>
            <xdr:cNvGraphicFramePr>
              <a:graphicFrameLocks/>
            </xdr:cNvGraphicFramePr>
          </xdr:nvGraphicFramePr>
          <xdr:xfrm>
            <a:off x="4259580" y="4008120"/>
            <a:ext cx="6408420" cy="27432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CC50FB05-061C-4586-9632-462F8D117146}"/>
                </a:ext>
              </a:extLst>
            </xdr:cNvPr>
            <xdr:cNvGraphicFramePr>
              <a:graphicFrameLocks/>
            </xdr:cNvGraphicFramePr>
          </xdr:nvGraphicFramePr>
          <xdr:xfrm>
            <a:off x="6179820" y="6751320"/>
            <a:ext cx="4518660" cy="307848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F043A72C-EE8C-409B-90AE-52E4380EC639}"/>
                </a:ext>
              </a:extLst>
            </xdr:cNvPr>
            <xdr:cNvGraphicFramePr>
              <a:graphicFrameLocks/>
            </xdr:cNvGraphicFramePr>
          </xdr:nvGraphicFramePr>
          <xdr:xfrm>
            <a:off x="548640" y="4015740"/>
            <a:ext cx="3764280" cy="275463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4A3DF0AC-E69D-4163-B1BD-55BC02AAFAC9}"/>
                </a:ext>
              </a:extLst>
            </xdr:cNvPr>
            <xdr:cNvGraphicFramePr>
              <a:graphicFrameLocks/>
            </xdr:cNvGraphicFramePr>
          </xdr:nvGraphicFramePr>
          <xdr:xfrm>
            <a:off x="548640" y="807720"/>
            <a:ext cx="4328160" cy="3192780"/>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23" name="Group 22">
              <a:extLst>
                <a:ext uri="{FF2B5EF4-FFF2-40B4-BE49-F238E27FC236}">
                  <a16:creationId xmlns:a16="http://schemas.microsoft.com/office/drawing/2014/main" id="{1BB17DF7-155D-CF24-A121-3C366CF0CF25}"/>
                </a:ext>
              </a:extLst>
            </xdr:cNvPr>
            <xdr:cNvGrpSpPr/>
          </xdr:nvGrpSpPr>
          <xdr:grpSpPr>
            <a:xfrm>
              <a:off x="548640" y="6751320"/>
              <a:ext cx="5623560" cy="3078480"/>
              <a:chOff x="548640" y="6751320"/>
              <a:chExt cx="5623560" cy="3078480"/>
            </a:xfrm>
          </xdr:grpSpPr>
          <xdr:grpSp>
            <xdr:nvGrpSpPr>
              <xdr:cNvPr id="22" name="Group 21">
                <a:extLst>
                  <a:ext uri="{FF2B5EF4-FFF2-40B4-BE49-F238E27FC236}">
                    <a16:creationId xmlns:a16="http://schemas.microsoft.com/office/drawing/2014/main" id="{1325BE26-B7D1-9560-B6FC-BEF565FF23CC}"/>
                  </a:ext>
                </a:extLst>
              </xdr:cNvPr>
              <xdr:cNvGrpSpPr/>
            </xdr:nvGrpSpPr>
            <xdr:grpSpPr>
              <a:xfrm>
                <a:off x="556260" y="6842760"/>
                <a:ext cx="876300" cy="1874520"/>
                <a:chOff x="556260" y="6842760"/>
                <a:chExt cx="876300" cy="1874520"/>
              </a:xfrm>
            </xdr:grpSpPr>
            <xdr:grpSp>
              <xdr:nvGrpSpPr>
                <xdr:cNvPr id="21" name="Group 20">
                  <a:extLst>
                    <a:ext uri="{FF2B5EF4-FFF2-40B4-BE49-F238E27FC236}">
                      <a16:creationId xmlns:a16="http://schemas.microsoft.com/office/drawing/2014/main" id="{3A54D71F-AE04-3537-2736-72E7C11DD271}"/>
                    </a:ext>
                  </a:extLst>
                </xdr:cNvPr>
                <xdr:cNvGrpSpPr/>
              </xdr:nvGrpSpPr>
              <xdr:grpSpPr>
                <a:xfrm>
                  <a:off x="594360" y="6842760"/>
                  <a:ext cx="838200" cy="906780"/>
                  <a:chOff x="594360" y="6842760"/>
                  <a:chExt cx="838200" cy="906780"/>
                </a:xfrm>
              </xdr:grpSpPr>
              <xdr:sp macro="" textlink="">
                <xdr:nvSpPr>
                  <xdr:cNvPr id="10" name="Flowchart: Connector 9">
                    <a:extLst>
                      <a:ext uri="{FF2B5EF4-FFF2-40B4-BE49-F238E27FC236}">
                        <a16:creationId xmlns:a16="http://schemas.microsoft.com/office/drawing/2014/main" id="{28C1779C-BE58-3382-A1EA-51B3B441CD35}"/>
                      </a:ext>
                    </a:extLst>
                  </xdr:cNvPr>
                  <xdr:cNvSpPr/>
                </xdr:nvSpPr>
                <xdr:spPr>
                  <a:xfrm>
                    <a:off x="594360" y="6842760"/>
                    <a:ext cx="838200" cy="906780"/>
                  </a:xfrm>
                  <a:prstGeom prst="flowChartConnector">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2" name="Graphic 11" descr="Trophy with solid fill">
                    <a:extLst>
                      <a:ext uri="{FF2B5EF4-FFF2-40B4-BE49-F238E27FC236}">
                        <a16:creationId xmlns:a16="http://schemas.microsoft.com/office/drawing/2014/main" id="{1B358ED5-FFAA-16F3-5B89-8B1861DA8E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31520" y="7025640"/>
                    <a:ext cx="548640" cy="548640"/>
                  </a:xfrm>
                  <a:prstGeom prst="rect">
                    <a:avLst/>
                  </a:prstGeom>
                </xdr:spPr>
              </xdr:pic>
            </xdr:grpSp>
            <xdr:pic>
              <xdr:nvPicPr>
                <xdr:cNvPr id="14" name="Graphic 13" descr="Dollar with solid fill">
                  <a:extLst>
                    <a:ext uri="{FF2B5EF4-FFF2-40B4-BE49-F238E27FC236}">
                      <a16:creationId xmlns:a16="http://schemas.microsoft.com/office/drawing/2014/main" id="{AE3F30A8-6502-890C-D1AE-0747943C129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6260" y="7802880"/>
                  <a:ext cx="815340" cy="914400"/>
                </a:xfrm>
                <a:prstGeom prst="rect">
                  <a:avLst/>
                </a:prstGeom>
              </xdr:spPr>
            </xdr:pic>
          </xdr:grpSp>
          <xdr:sp macro="" textlink="">
            <xdr:nvSpPr>
              <xdr:cNvPr id="9" name="Rectangle 8">
                <a:extLst>
                  <a:ext uri="{FF2B5EF4-FFF2-40B4-BE49-F238E27FC236}">
                    <a16:creationId xmlns:a16="http://schemas.microsoft.com/office/drawing/2014/main" id="{E5ADD5E5-2CFC-1714-67F4-F1F85DC72901}"/>
                  </a:ext>
                </a:extLst>
              </xdr:cNvPr>
              <xdr:cNvSpPr/>
            </xdr:nvSpPr>
            <xdr:spPr>
              <a:xfrm>
                <a:off x="548640" y="6751320"/>
                <a:ext cx="5623560" cy="30784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54AF9453-4C24-A8BD-E01C-EDB6B7C65300}"/>
                    </a:ext>
                  </a:extLst>
                </xdr:cNvPr>
                <xdr:cNvGraphicFramePr/>
              </xdr:nvGraphicFramePr>
              <xdr:xfrm>
                <a:off x="10683240" y="815341"/>
                <a:ext cx="1828800" cy="164592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3136880" y="1082041"/>
                  <a:ext cx="182880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Profit Percentage">
                  <a:extLst>
                    <a:ext uri="{FF2B5EF4-FFF2-40B4-BE49-F238E27FC236}">
                      <a16:creationId xmlns:a16="http://schemas.microsoft.com/office/drawing/2014/main" id="{F1341049-3680-E8D3-E9F6-B31A0F95ECD1}"/>
                    </a:ext>
                  </a:extLst>
                </xdr:cNvPr>
                <xdr:cNvGraphicFramePr/>
              </xdr:nvGraphicFramePr>
              <xdr:xfrm>
                <a:off x="10675620" y="2476501"/>
                <a:ext cx="1828800" cy="2446019"/>
              </xdr:xfrm>
              <a:graphic>
                <a:graphicData uri="http://schemas.microsoft.com/office/drawing/2010/slicer">
                  <sle:slicer xmlns:sle="http://schemas.microsoft.com/office/drawing/2010/slicer" name="Profit Percentage"/>
                </a:graphicData>
              </a:graphic>
            </xdr:graphicFrame>
          </mc:Choice>
          <mc:Fallback>
            <xdr:sp macro="" textlink="">
              <xdr:nvSpPr>
                <xdr:cNvPr id="0" name=""/>
                <xdr:cNvSpPr>
                  <a:spLocks noTextEdit="1"/>
                </xdr:cNvSpPr>
              </xdr:nvSpPr>
              <xdr:spPr>
                <a:xfrm>
                  <a:off x="13129260" y="2743201"/>
                  <a:ext cx="1828800" cy="2446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Total Sales">
                  <a:extLst>
                    <a:ext uri="{FF2B5EF4-FFF2-40B4-BE49-F238E27FC236}">
                      <a16:creationId xmlns:a16="http://schemas.microsoft.com/office/drawing/2014/main" id="{1F7E7859-BB74-D4A2-C9B2-F384695516EB}"/>
                    </a:ext>
                  </a:extLst>
                </xdr:cNvPr>
                <xdr:cNvGraphicFramePr/>
              </xdr:nvGraphicFramePr>
              <xdr:xfrm>
                <a:off x="10675620" y="4914900"/>
                <a:ext cx="1828800" cy="2466975"/>
              </xdr:xfrm>
              <a:graphic>
                <a:graphicData uri="http://schemas.microsoft.com/office/drawing/2010/slicer">
                  <sle:slicer xmlns:sle="http://schemas.microsoft.com/office/drawing/2010/slicer" name="Total Sales"/>
                </a:graphicData>
              </a:graphic>
            </xdr:graphicFrame>
          </mc:Choice>
          <mc:Fallback>
            <xdr:sp macro="" textlink="">
              <xdr:nvSpPr>
                <xdr:cNvPr id="0" name=""/>
                <xdr:cNvSpPr>
                  <a:spLocks noTextEdit="1"/>
                </xdr:cNvSpPr>
              </xdr:nvSpPr>
              <xdr:spPr>
                <a:xfrm>
                  <a:off x="13129260" y="51816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5" name="Rectangle 24">
            <a:extLst>
              <a:ext uri="{FF2B5EF4-FFF2-40B4-BE49-F238E27FC236}">
                <a16:creationId xmlns:a16="http://schemas.microsoft.com/office/drawing/2014/main" id="{A2C4A23E-D8FA-4FD5-0755-C5BC28B9E3BE}"/>
              </a:ext>
            </a:extLst>
          </xdr:cNvPr>
          <xdr:cNvSpPr/>
        </xdr:nvSpPr>
        <xdr:spPr>
          <a:xfrm>
            <a:off x="2049780" y="6995160"/>
            <a:ext cx="2659380" cy="6400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solidFill>
                  <a:srgbClr val="9933FF"/>
                </a:solidFill>
              </a:rPr>
              <a:t>Best Selling Product</a:t>
            </a:r>
          </a:p>
        </xdr:txBody>
      </xdr:sp>
    </xdr:grpSp>
    <xdr:clientData/>
  </xdr:twoCellAnchor>
  <xdr:twoCellAnchor editAs="oneCell">
    <xdr:from>
      <xdr:col>4</xdr:col>
      <xdr:colOff>281940</xdr:colOff>
      <xdr:row>1</xdr:row>
      <xdr:rowOff>144780</xdr:rowOff>
    </xdr:from>
    <xdr:to>
      <xdr:col>5</xdr:col>
      <xdr:colOff>157034</xdr:colOff>
      <xdr:row>3</xdr:row>
      <xdr:rowOff>28978</xdr:rowOff>
    </xdr:to>
    <xdr:pic>
      <xdr:nvPicPr>
        <xdr:cNvPr id="33" name="Picture 32">
          <a:extLst>
            <a:ext uri="{FF2B5EF4-FFF2-40B4-BE49-F238E27FC236}">
              <a16:creationId xmlns:a16="http://schemas.microsoft.com/office/drawing/2014/main" id="{BAA0214E-1719-40B1-9B9C-50824CC1A4DC}"/>
            </a:ext>
          </a:extLst>
        </xdr:cNvPr>
        <xdr:cNvPicPr>
          <a:picLocks noChangeAspect="1"/>
        </xdr:cNvPicPr>
      </xdr:nvPicPr>
      <xdr:blipFill>
        <a:blip xmlns:r="http://schemas.openxmlformats.org/officeDocument/2006/relationships" r:embed="rId10"/>
        <a:stretch>
          <a:fillRect/>
        </a:stretch>
      </xdr:blipFill>
      <xdr:spPr>
        <a:xfrm>
          <a:off x="2796540" y="327660"/>
          <a:ext cx="713294" cy="249958"/>
        </a:xfrm>
        <a:prstGeom prst="rect">
          <a:avLst/>
        </a:prstGeom>
        <a:solidFill>
          <a:schemeClr val="bg1"/>
        </a:solidFill>
      </xdr:spPr>
    </xdr:pic>
    <xdr:clientData/>
  </xdr:twoCellAnchor>
  <xdr:twoCellAnchor editAs="oneCell">
    <xdr:from>
      <xdr:col>2</xdr:col>
      <xdr:colOff>0</xdr:colOff>
      <xdr:row>41</xdr:row>
      <xdr:rowOff>0</xdr:rowOff>
    </xdr:from>
    <xdr:to>
      <xdr:col>3</xdr:col>
      <xdr:colOff>103694</xdr:colOff>
      <xdr:row>42</xdr:row>
      <xdr:rowOff>67078</xdr:rowOff>
    </xdr:to>
    <xdr:pic>
      <xdr:nvPicPr>
        <xdr:cNvPr id="34" name="Picture 33">
          <a:extLst>
            <a:ext uri="{FF2B5EF4-FFF2-40B4-BE49-F238E27FC236}">
              <a16:creationId xmlns:a16="http://schemas.microsoft.com/office/drawing/2014/main" id="{35A8E79E-5283-4CD6-8424-43EAEB9836B6}"/>
            </a:ext>
          </a:extLst>
        </xdr:cNvPr>
        <xdr:cNvPicPr>
          <a:picLocks noChangeAspect="1"/>
        </xdr:cNvPicPr>
      </xdr:nvPicPr>
      <xdr:blipFill>
        <a:blip xmlns:r="http://schemas.openxmlformats.org/officeDocument/2006/relationships" r:embed="rId10"/>
        <a:stretch>
          <a:fillRect/>
        </a:stretch>
      </xdr:blipFill>
      <xdr:spPr>
        <a:xfrm>
          <a:off x="1219200" y="7780020"/>
          <a:ext cx="713294" cy="249958"/>
        </a:xfrm>
        <a:prstGeom prst="rect">
          <a:avLst/>
        </a:prstGeom>
        <a:solidFill>
          <a:schemeClr val="bg1"/>
        </a:solidFill>
      </xdr:spPr>
    </xdr:pic>
    <xdr:clientData/>
  </xdr:twoCellAnchor>
  <xdr:twoCellAnchor>
    <xdr:from>
      <xdr:col>6</xdr:col>
      <xdr:colOff>464820</xdr:colOff>
      <xdr:row>43</xdr:row>
      <xdr:rowOff>7620</xdr:rowOff>
    </xdr:from>
    <xdr:to>
      <xdr:col>11</xdr:col>
      <xdr:colOff>121920</xdr:colOff>
      <xdr:row>49</xdr:row>
      <xdr:rowOff>83820</xdr:rowOff>
    </xdr:to>
    <xdr:sp macro="" textlink="">
      <xdr:nvSpPr>
        <xdr:cNvPr id="35" name="Rectangle 34">
          <a:extLst>
            <a:ext uri="{FF2B5EF4-FFF2-40B4-BE49-F238E27FC236}">
              <a16:creationId xmlns:a16="http://schemas.microsoft.com/office/drawing/2014/main" id="{A35F4FBB-470B-44CF-7A17-E085A9F41F83}"/>
            </a:ext>
          </a:extLst>
        </xdr:cNvPr>
        <xdr:cNvSpPr/>
      </xdr:nvSpPr>
      <xdr:spPr>
        <a:xfrm>
          <a:off x="4427220" y="8153400"/>
          <a:ext cx="2705100" cy="1173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Notebook</a:t>
          </a:r>
        </a:p>
        <a:p>
          <a:pPr algn="l"/>
          <a:r>
            <a:rPr lang="en-US" sz="2400"/>
            <a:t>3125789.38</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4</xdr:row>
      <xdr:rowOff>49530</xdr:rowOff>
    </xdr:from>
    <xdr:to>
      <xdr:col>5</xdr:col>
      <xdr:colOff>601980</xdr:colOff>
      <xdr:row>19</xdr:row>
      <xdr:rowOff>49530</xdr:rowOff>
    </xdr:to>
    <xdr:graphicFrame macro="">
      <xdr:nvGraphicFramePr>
        <xdr:cNvPr id="2" name="Chart 1">
          <a:extLst>
            <a:ext uri="{FF2B5EF4-FFF2-40B4-BE49-F238E27FC236}">
              <a16:creationId xmlns:a16="http://schemas.microsoft.com/office/drawing/2014/main" id="{3E647BEF-6827-80F6-FA73-5DFDF19AE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419100</xdr:colOff>
      <xdr:row>4</xdr:row>
      <xdr:rowOff>80010</xdr:rowOff>
    </xdr:from>
    <xdr:to>
      <xdr:col>4</xdr:col>
      <xdr:colOff>30480</xdr:colOff>
      <xdr:row>19</xdr:row>
      <xdr:rowOff>80010</xdr:rowOff>
    </xdr:to>
    <xdr:graphicFrame macro="">
      <xdr:nvGraphicFramePr>
        <xdr:cNvPr id="2" name="Chart 1">
          <a:extLst>
            <a:ext uri="{FF2B5EF4-FFF2-40B4-BE49-F238E27FC236}">
              <a16:creationId xmlns:a16="http://schemas.microsoft.com/office/drawing/2014/main" id="{C36C98B2-5966-CFD8-3AC5-351E9EE85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125730</xdr:rowOff>
    </xdr:from>
    <xdr:to>
      <xdr:col>5</xdr:col>
      <xdr:colOff>510540</xdr:colOff>
      <xdr:row>24</xdr:row>
      <xdr:rowOff>125730</xdr:rowOff>
    </xdr:to>
    <xdr:graphicFrame macro="">
      <xdr:nvGraphicFramePr>
        <xdr:cNvPr id="2" name="Chart 1">
          <a:extLst>
            <a:ext uri="{FF2B5EF4-FFF2-40B4-BE49-F238E27FC236}">
              <a16:creationId xmlns:a16="http://schemas.microsoft.com/office/drawing/2014/main" id="{BB0FA90D-C876-57D2-609B-F80B1A6DB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396240</xdr:colOff>
      <xdr:row>9</xdr:row>
      <xdr:rowOff>118110</xdr:rowOff>
    </xdr:from>
    <xdr:to>
      <xdr:col>4</xdr:col>
      <xdr:colOff>1516380</xdr:colOff>
      <xdr:row>28</xdr:row>
      <xdr:rowOff>45720</xdr:rowOff>
    </xdr:to>
    <xdr:graphicFrame macro="">
      <xdr:nvGraphicFramePr>
        <xdr:cNvPr id="2" name="Chart 1">
          <a:extLst>
            <a:ext uri="{FF2B5EF4-FFF2-40B4-BE49-F238E27FC236}">
              <a16:creationId xmlns:a16="http://schemas.microsoft.com/office/drawing/2014/main" id="{CE38BF1A-71CD-A398-C776-CF063BC9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30480</xdr:colOff>
      <xdr:row>1</xdr:row>
      <xdr:rowOff>171450</xdr:rowOff>
    </xdr:from>
    <xdr:to>
      <xdr:col>11</xdr:col>
      <xdr:colOff>586740</xdr:colOff>
      <xdr:row>23</xdr:row>
      <xdr:rowOff>30480</xdr:rowOff>
    </xdr:to>
    <xdr:graphicFrame macro="">
      <xdr:nvGraphicFramePr>
        <xdr:cNvPr id="2" name="Chart 1">
          <a:extLst>
            <a:ext uri="{FF2B5EF4-FFF2-40B4-BE49-F238E27FC236}">
              <a16:creationId xmlns:a16="http://schemas.microsoft.com/office/drawing/2014/main" id="{0CC2E7E6-E301-9569-84FA-B77C75C173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38100</xdr:colOff>
      <xdr:row>2</xdr:row>
      <xdr:rowOff>11430</xdr:rowOff>
    </xdr:from>
    <xdr:to>
      <xdr:col>8</xdr:col>
      <xdr:colOff>251460</xdr:colOff>
      <xdr:row>17</xdr:row>
      <xdr:rowOff>11430</xdr:rowOff>
    </xdr:to>
    <xdr:graphicFrame macro="">
      <xdr:nvGraphicFramePr>
        <xdr:cNvPr id="3" name="Chart 2">
          <a:extLst>
            <a:ext uri="{FF2B5EF4-FFF2-40B4-BE49-F238E27FC236}">
              <a16:creationId xmlns:a16="http://schemas.microsoft.com/office/drawing/2014/main" id="{49C1FEF7-4341-9E2C-D8A7-643AF3766C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434340</xdr:colOff>
      <xdr:row>0</xdr:row>
      <xdr:rowOff>91440</xdr:rowOff>
    </xdr:from>
    <xdr:to>
      <xdr:col>23</xdr:col>
      <xdr:colOff>335280</xdr:colOff>
      <xdr:row>53</xdr:row>
      <xdr:rowOff>0</xdr:rowOff>
    </xdr:to>
    <xdr:grpSp>
      <xdr:nvGrpSpPr>
        <xdr:cNvPr id="21" name="Group 20">
          <a:extLst>
            <a:ext uri="{FF2B5EF4-FFF2-40B4-BE49-F238E27FC236}">
              <a16:creationId xmlns:a16="http://schemas.microsoft.com/office/drawing/2014/main" id="{032A6F7A-2943-8BD5-AF74-079EA4A9F358}"/>
            </a:ext>
          </a:extLst>
        </xdr:cNvPr>
        <xdr:cNvGrpSpPr/>
      </xdr:nvGrpSpPr>
      <xdr:grpSpPr>
        <a:xfrm>
          <a:off x="1043940" y="91440"/>
          <a:ext cx="13312140" cy="9601200"/>
          <a:chOff x="1600200" y="281940"/>
          <a:chExt cx="13312140" cy="9601200"/>
        </a:xfrm>
      </xdr:grpSpPr>
      <xdr:sp macro="" textlink="">
        <xdr:nvSpPr>
          <xdr:cNvPr id="2" name="Rectangle 1">
            <a:extLst>
              <a:ext uri="{FF2B5EF4-FFF2-40B4-BE49-F238E27FC236}">
                <a16:creationId xmlns:a16="http://schemas.microsoft.com/office/drawing/2014/main" id="{2BEFBFAE-71A3-5ACA-4EF2-4A6C5A401CA3}"/>
              </a:ext>
            </a:extLst>
          </xdr:cNvPr>
          <xdr:cNvSpPr/>
        </xdr:nvSpPr>
        <xdr:spPr>
          <a:xfrm>
            <a:off x="1615440" y="281940"/>
            <a:ext cx="13296900" cy="434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Employment Analysis</a:t>
            </a:r>
          </a:p>
        </xdr:txBody>
      </xdr:sp>
      <xdr:graphicFrame macro="">
        <xdr:nvGraphicFramePr>
          <xdr:cNvPr id="3" name="Chart 2">
            <a:extLst>
              <a:ext uri="{FF2B5EF4-FFF2-40B4-BE49-F238E27FC236}">
                <a16:creationId xmlns:a16="http://schemas.microsoft.com/office/drawing/2014/main" id="{A9F68D9A-F3DF-4586-8BC3-261560CB19EE}"/>
              </a:ext>
            </a:extLst>
          </xdr:cNvPr>
          <xdr:cNvGraphicFramePr>
            <a:graphicFrameLocks/>
          </xdr:cNvGraphicFramePr>
        </xdr:nvGraphicFramePr>
        <xdr:xfrm>
          <a:off x="1600200" y="739140"/>
          <a:ext cx="4549140" cy="26822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2B0BD9C9-782A-45E3-8DC0-4EB91FD2A92A}"/>
              </a:ext>
            </a:extLst>
          </xdr:cNvPr>
          <xdr:cNvGraphicFramePr>
            <a:graphicFrameLocks/>
          </xdr:cNvGraphicFramePr>
        </xdr:nvGraphicFramePr>
        <xdr:xfrm>
          <a:off x="6149340" y="739140"/>
          <a:ext cx="5097780" cy="267462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EDC5076D-CC18-44D4-8A9E-91BD58E8CCCB}"/>
              </a:ext>
            </a:extLst>
          </xdr:cNvPr>
          <xdr:cNvGraphicFramePr>
            <a:graphicFrameLocks/>
          </xdr:cNvGraphicFramePr>
        </xdr:nvGraphicFramePr>
        <xdr:xfrm>
          <a:off x="1600200" y="3429000"/>
          <a:ext cx="6316980" cy="340233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51817222-12EC-4F4D-9EC7-4ECBCF5ED622}"/>
              </a:ext>
            </a:extLst>
          </xdr:cNvPr>
          <xdr:cNvGraphicFramePr>
            <a:graphicFrameLocks/>
          </xdr:cNvGraphicFramePr>
        </xdr:nvGraphicFramePr>
        <xdr:xfrm>
          <a:off x="1600200" y="6835140"/>
          <a:ext cx="5684520" cy="304038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030442D6-96D5-493E-8517-53144F07314E}"/>
              </a:ext>
            </a:extLst>
          </xdr:cNvPr>
          <xdr:cNvGraphicFramePr>
            <a:graphicFrameLocks/>
          </xdr:cNvGraphicFramePr>
        </xdr:nvGraphicFramePr>
        <xdr:xfrm>
          <a:off x="7292340" y="6835140"/>
          <a:ext cx="3954780" cy="3048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C5629C18-3693-4742-9687-8E5C09AAD612}"/>
              </a:ext>
            </a:extLst>
          </xdr:cNvPr>
          <xdr:cNvGraphicFramePr>
            <a:graphicFrameLocks/>
          </xdr:cNvGraphicFramePr>
        </xdr:nvGraphicFramePr>
        <xdr:xfrm>
          <a:off x="7917180" y="3429000"/>
          <a:ext cx="3329940" cy="341376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122F9134-4DDE-C451-8CC3-49551613CED4}"/>
                  </a:ext>
                </a:extLst>
              </xdr:cNvPr>
              <xdr:cNvGraphicFramePr/>
            </xdr:nvGraphicFramePr>
            <xdr:xfrm>
              <a:off x="11247120" y="739140"/>
              <a:ext cx="1828800" cy="2466975"/>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690860" y="54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Salary Range(200K-400K)">
                <a:extLst>
                  <a:ext uri="{FF2B5EF4-FFF2-40B4-BE49-F238E27FC236}">
                    <a16:creationId xmlns:a16="http://schemas.microsoft.com/office/drawing/2014/main" id="{C88407D0-062D-0887-B3A6-C21033DD10A6}"/>
                  </a:ext>
                </a:extLst>
              </xdr:cNvPr>
              <xdr:cNvGraphicFramePr/>
            </xdr:nvGraphicFramePr>
            <xdr:xfrm>
              <a:off x="13075920" y="739140"/>
              <a:ext cx="1828800" cy="2466975"/>
            </xdr:xfrm>
            <a:graphic>
              <a:graphicData uri="http://schemas.microsoft.com/office/drawing/2010/slicer">
                <sle:slicer xmlns:sle="http://schemas.microsoft.com/office/drawing/2010/slicer" name="Salary Range(200K-400K)"/>
              </a:graphicData>
            </a:graphic>
          </xdr:graphicFrame>
        </mc:Choice>
        <mc:Fallback>
          <xdr:sp macro="" textlink="">
            <xdr:nvSpPr>
              <xdr:cNvPr id="0" name=""/>
              <xdr:cNvSpPr>
                <a:spLocks noTextEdit="1"/>
              </xdr:cNvSpPr>
            </xdr:nvSpPr>
            <xdr:spPr>
              <a:xfrm>
                <a:off x="12519660" y="548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4" name="Salary Range(400K-700K)">
                <a:extLst>
                  <a:ext uri="{FF2B5EF4-FFF2-40B4-BE49-F238E27FC236}">
                    <a16:creationId xmlns:a16="http://schemas.microsoft.com/office/drawing/2014/main" id="{4C65F6E4-A276-5DC9-42B3-4729DFA4D52C}"/>
                  </a:ext>
                </a:extLst>
              </xdr:cNvPr>
              <xdr:cNvGraphicFramePr/>
            </xdr:nvGraphicFramePr>
            <xdr:xfrm>
              <a:off x="11231880" y="3200400"/>
              <a:ext cx="1828800" cy="2466975"/>
            </xdr:xfrm>
            <a:graphic>
              <a:graphicData uri="http://schemas.microsoft.com/office/drawing/2010/slicer">
                <sle:slicer xmlns:sle="http://schemas.microsoft.com/office/drawing/2010/slicer" name="Salary Range(400K-700K)"/>
              </a:graphicData>
            </a:graphic>
          </xdr:graphicFrame>
        </mc:Choice>
        <mc:Fallback>
          <xdr:sp macro="" textlink="">
            <xdr:nvSpPr>
              <xdr:cNvPr id="0" name=""/>
              <xdr:cNvSpPr>
                <a:spLocks noTextEdit="1"/>
              </xdr:cNvSpPr>
            </xdr:nvSpPr>
            <xdr:spPr>
              <a:xfrm>
                <a:off x="10675620" y="3009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Salary Range(700K-1M)">
                <a:extLst>
                  <a:ext uri="{FF2B5EF4-FFF2-40B4-BE49-F238E27FC236}">
                    <a16:creationId xmlns:a16="http://schemas.microsoft.com/office/drawing/2014/main" id="{1C19C5F3-8189-1017-D7E6-1BD1E57BBC80}"/>
                  </a:ext>
                </a:extLst>
              </xdr:cNvPr>
              <xdr:cNvGraphicFramePr/>
            </xdr:nvGraphicFramePr>
            <xdr:xfrm>
              <a:off x="13060680" y="3200400"/>
              <a:ext cx="1828800" cy="2466975"/>
            </xdr:xfrm>
            <a:graphic>
              <a:graphicData uri="http://schemas.microsoft.com/office/drawing/2010/slicer">
                <sle:slicer xmlns:sle="http://schemas.microsoft.com/office/drawing/2010/slicer" name="Salary Range(700K-1M)"/>
              </a:graphicData>
            </a:graphic>
          </xdr:graphicFrame>
        </mc:Choice>
        <mc:Fallback>
          <xdr:sp macro="" textlink="">
            <xdr:nvSpPr>
              <xdr:cNvPr id="0" name=""/>
              <xdr:cNvSpPr>
                <a:spLocks noTextEdit="1"/>
              </xdr:cNvSpPr>
            </xdr:nvSpPr>
            <xdr:spPr>
              <a:xfrm>
                <a:off x="12504420" y="30099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 name="Salary Range(M+)">
                <a:extLst>
                  <a:ext uri="{FF2B5EF4-FFF2-40B4-BE49-F238E27FC236}">
                    <a16:creationId xmlns:a16="http://schemas.microsoft.com/office/drawing/2014/main" id="{001F6D9C-20CE-8D44-82CB-995178610B66}"/>
                  </a:ext>
                </a:extLst>
              </xdr:cNvPr>
              <xdr:cNvGraphicFramePr/>
            </xdr:nvGraphicFramePr>
            <xdr:xfrm>
              <a:off x="11231880" y="5661660"/>
              <a:ext cx="1828800" cy="2466975"/>
            </xdr:xfrm>
            <a:graphic>
              <a:graphicData uri="http://schemas.microsoft.com/office/drawing/2010/slicer">
                <sle:slicer xmlns:sle="http://schemas.microsoft.com/office/drawing/2010/slicer" name="Salary Range(M+)"/>
              </a:graphicData>
            </a:graphic>
          </xdr:graphicFrame>
        </mc:Choice>
        <mc:Fallback>
          <xdr:sp macro="" textlink="">
            <xdr:nvSpPr>
              <xdr:cNvPr id="0" name=""/>
              <xdr:cNvSpPr>
                <a:spLocks noTextEdit="1"/>
              </xdr:cNvSpPr>
            </xdr:nvSpPr>
            <xdr:spPr>
              <a:xfrm>
                <a:off x="10675620" y="5471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 name="Salary Range">
                <a:extLst>
                  <a:ext uri="{FF2B5EF4-FFF2-40B4-BE49-F238E27FC236}">
                    <a16:creationId xmlns:a16="http://schemas.microsoft.com/office/drawing/2014/main" id="{7EE64DDA-19E8-6A5A-6F4D-CC895C70B41A}"/>
                  </a:ext>
                </a:extLst>
              </xdr:cNvPr>
              <xdr:cNvGraphicFramePr/>
            </xdr:nvGraphicFramePr>
            <xdr:xfrm>
              <a:off x="11254740" y="8115301"/>
              <a:ext cx="1828800" cy="1767839"/>
            </xdr:xfrm>
            <a:graphic>
              <a:graphicData uri="http://schemas.microsoft.com/office/drawing/2010/slicer">
                <sle:slicer xmlns:sle="http://schemas.microsoft.com/office/drawing/2010/slicer" name="Salary Range"/>
              </a:graphicData>
            </a:graphic>
          </xdr:graphicFrame>
        </mc:Choice>
        <mc:Fallback>
          <xdr:sp macro="" textlink="">
            <xdr:nvSpPr>
              <xdr:cNvPr id="0" name=""/>
              <xdr:cNvSpPr>
                <a:spLocks noTextEdit="1"/>
              </xdr:cNvSpPr>
            </xdr:nvSpPr>
            <xdr:spPr>
              <a:xfrm>
                <a:off x="10698480" y="7924801"/>
                <a:ext cx="1828800" cy="1767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8" name="Performance%">
                <a:extLst>
                  <a:ext uri="{FF2B5EF4-FFF2-40B4-BE49-F238E27FC236}">
                    <a16:creationId xmlns:a16="http://schemas.microsoft.com/office/drawing/2014/main" id="{A6892298-5287-12FA-F691-2597786D5D71}"/>
                  </a:ext>
                </a:extLst>
              </xdr:cNvPr>
              <xdr:cNvGraphicFramePr/>
            </xdr:nvGraphicFramePr>
            <xdr:xfrm>
              <a:off x="13068300" y="5654040"/>
              <a:ext cx="1828800" cy="2466975"/>
            </xdr:xfrm>
            <a:graphic>
              <a:graphicData uri="http://schemas.microsoft.com/office/drawing/2010/slicer">
                <sle:slicer xmlns:sle="http://schemas.microsoft.com/office/drawing/2010/slicer" name="Performance%"/>
              </a:graphicData>
            </a:graphic>
          </xdr:graphicFrame>
        </mc:Choice>
        <mc:Fallback>
          <xdr:sp macro="" textlink="">
            <xdr:nvSpPr>
              <xdr:cNvPr id="0" name=""/>
              <xdr:cNvSpPr>
                <a:spLocks noTextEdit="1"/>
              </xdr:cNvSpPr>
            </xdr:nvSpPr>
            <xdr:spPr>
              <a:xfrm>
                <a:off x="12512040" y="546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9" name="Job Category">
                <a:extLst>
                  <a:ext uri="{FF2B5EF4-FFF2-40B4-BE49-F238E27FC236}">
                    <a16:creationId xmlns:a16="http://schemas.microsoft.com/office/drawing/2014/main" id="{A831632D-8337-F8DC-679D-D45881145A57}"/>
                  </a:ext>
                </a:extLst>
              </xdr:cNvPr>
              <xdr:cNvGraphicFramePr/>
            </xdr:nvGraphicFramePr>
            <xdr:xfrm>
              <a:off x="13075920" y="8115301"/>
              <a:ext cx="1828800" cy="1752600"/>
            </xdr:xfrm>
            <a:graphic>
              <a:graphicData uri="http://schemas.microsoft.com/office/drawing/2010/slicer">
                <sle:slicer xmlns:sle="http://schemas.microsoft.com/office/drawing/2010/slicer" name="Job Category"/>
              </a:graphicData>
            </a:graphic>
          </xdr:graphicFrame>
        </mc:Choice>
        <mc:Fallback>
          <xdr:sp macro="" textlink="">
            <xdr:nvSpPr>
              <xdr:cNvPr id="0" name=""/>
              <xdr:cNvSpPr>
                <a:spLocks noTextEdit="1"/>
              </xdr:cNvSpPr>
            </xdr:nvSpPr>
            <xdr:spPr>
              <a:xfrm>
                <a:off x="12519660" y="7924801"/>
                <a:ext cx="18288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036032175929" createdVersion="8" refreshedVersion="8" minRefreshableVersion="3" recordCount="120" xr:uid="{A4727B0C-61B6-4391-AD1F-C66FF21B1CF9}">
  <cacheSource type="worksheet">
    <worksheetSource name="SalesData"/>
  </cacheSource>
  <cacheFields count="13">
    <cacheField name="Product ID" numFmtId="0">
      <sharedItems/>
    </cacheField>
    <cacheField name="Product Name" numFmtId="0">
      <sharedItems count="8">
        <s v="Monitor"/>
        <s v="Notebook"/>
        <s v="Smartphone"/>
        <s v="Chair"/>
        <s v="Pen"/>
        <s v="Desk"/>
        <s v="Laptop"/>
        <s v="Printer"/>
      </sharedItems>
    </cacheField>
    <cacheField name="Category" numFmtId="0">
      <sharedItems/>
    </cacheField>
    <cacheField name="Year" numFmtId="0">
      <sharedItems containsSemiMixedTypes="0" containsString="0" containsNumber="1" containsInteger="1" minValue="2023" maxValue="2025" count="3">
        <n v="2025"/>
        <n v="2024"/>
        <n v="2023"/>
      </sharedItems>
    </cacheField>
    <cacheField name="Month" numFmtId="0">
      <sharedItems/>
    </cacheField>
    <cacheField name="Sales Amount" numFmtId="0">
      <sharedItems containsSemiMixedTypes="0" containsString="0" containsNumber="1" containsInteger="1" minValue="50635" maxValue="1484022"/>
    </cacheField>
    <cacheField name="Quantity Sold" numFmtId="0">
      <sharedItems containsSemiMixedTypes="0" containsString="0" containsNumber="1" containsInteger="1" minValue="1" maxValue="50"/>
    </cacheField>
    <cacheField name="Total Sales" numFmtId="0">
      <sharedItems containsSemiMixedTypes="0" containsString="0" containsNumber="1" containsInteger="1" minValue="521055" maxValue="63140426" count="120">
        <n v="6783125"/>
        <n v="23947160"/>
        <n v="21380765"/>
        <n v="30965668"/>
        <n v="5500872"/>
        <n v="9373020"/>
        <n v="2700132"/>
        <n v="5150385"/>
        <n v="26978225"/>
        <n v="38461266"/>
        <n v="16674957"/>
        <n v="13271984"/>
        <n v="53154114"/>
        <n v="5831575"/>
        <n v="33652377"/>
        <n v="7075200"/>
        <n v="29640963"/>
        <n v="1051110"/>
        <n v="26812480"/>
        <n v="5581394"/>
        <n v="35786184"/>
        <n v="5153316"/>
        <n v="19014674"/>
        <n v="32387910"/>
        <n v="3315865"/>
        <n v="3324090"/>
        <n v="19875786"/>
        <n v="7666498"/>
        <n v="25320282"/>
        <n v="18437490"/>
        <n v="12210000"/>
        <n v="28888816"/>
        <n v="9195886"/>
        <n v="5894631"/>
        <n v="30913855"/>
        <n v="646808"/>
        <n v="50858650"/>
        <n v="38191815"/>
        <n v="22151660"/>
        <n v="4145071"/>
        <n v="22537648"/>
        <n v="23229668"/>
        <n v="11299946"/>
        <n v="24511950"/>
        <n v="36535960"/>
        <n v="1619070"/>
        <n v="37587320"/>
        <n v="34405911"/>
        <n v="16010246"/>
        <n v="4268972"/>
        <n v="6759127"/>
        <n v="18357740"/>
        <n v="1995974"/>
        <n v="21260600"/>
        <n v="5847168"/>
        <n v="26005100"/>
        <n v="25163196"/>
        <n v="19120728"/>
        <n v="53939100"/>
        <n v="47157040"/>
        <n v="14999661"/>
        <n v="22442313"/>
        <n v="36385272"/>
        <n v="41003102"/>
        <n v="2038301"/>
        <n v="36181320"/>
        <n v="27160034"/>
        <n v="17032930"/>
        <n v="8416920"/>
        <n v="17925030"/>
        <n v="10540980"/>
        <n v="4599576"/>
        <n v="20551680"/>
        <n v="33715325"/>
        <n v="2468016"/>
        <n v="12260070"/>
        <n v="53610984"/>
        <n v="1105787"/>
        <n v="35506408"/>
        <n v="17756600"/>
        <n v="16745417"/>
        <n v="40814829"/>
        <n v="49936733"/>
        <n v="52963512"/>
        <n v="16324242"/>
        <n v="3787168"/>
        <n v="10597395"/>
        <n v="10364109"/>
        <n v="24569090"/>
        <n v="32008203"/>
        <n v="39910786"/>
        <n v="13700973"/>
        <n v="3572800"/>
        <n v="735122"/>
        <n v="44618370"/>
        <n v="7411554"/>
        <n v="32346426"/>
        <n v="28299375"/>
        <n v="27197716"/>
        <n v="1974765"/>
        <n v="19423463"/>
        <n v="27546694"/>
        <n v="31474400"/>
        <n v="63140426"/>
        <n v="7875560"/>
        <n v="4128950"/>
        <n v="23857260"/>
        <n v="40012640"/>
        <n v="8248590"/>
        <n v="9239100"/>
        <n v="51121280"/>
        <n v="521055"/>
        <n v="4957505"/>
        <n v="20442474"/>
        <n v="30220722"/>
        <n v="61321320"/>
        <n v="26062661"/>
        <n v="2843179"/>
        <n v="1299562"/>
        <n v="14131110"/>
      </sharedItems>
    </cacheField>
    <cacheField name="Total Profit" numFmtId="0">
      <sharedItems containsSemiMixedTypes="0" containsString="0" containsNumber="1" minValue="9397.7800000000007" maxValue="392465.99"/>
    </cacheField>
    <cacheField name="Profit Percentage" numFmtId="0">
      <sharedItems containsSemiMixedTypes="0" containsString="0" containsNumber="1" minValue="8" maxValue="29.95" count="118">
        <n v="19.45"/>
        <n v="14.21"/>
        <n v="11.59"/>
        <n v="23.38"/>
        <n v="28.38"/>
        <n v="27.24"/>
        <n v="17.47"/>
        <n v="19.440000000000001"/>
        <n v="9.85"/>
        <n v="8.41"/>
        <n v="21.66"/>
        <n v="13.66"/>
        <n v="12.7"/>
        <n v="10.5"/>
        <n v="11.97"/>
        <n v="23.52"/>
        <n v="19.29"/>
        <n v="29.77"/>
        <n v="29.75"/>
        <n v="19.63"/>
        <n v="16.329999999999998"/>
        <n v="24.16"/>
        <n v="8.83"/>
        <n v="19.37"/>
        <n v="29.53"/>
        <n v="15.71"/>
        <n v="15.15"/>
        <n v="20.49"/>
        <n v="21.62"/>
        <n v="14.63"/>
        <n v="22.87"/>
        <n v="8.66"/>
        <n v="20.61"/>
        <n v="17.079999999999998"/>
        <n v="9.43"/>
        <n v="10.93"/>
        <n v="9.7200000000000006"/>
        <n v="24.02"/>
        <n v="20.87"/>
        <n v="14.57"/>
        <n v="25.21"/>
        <n v="13.78"/>
        <n v="10.7"/>
        <n v="10"/>
        <n v="25.08"/>
        <n v="13.12"/>
        <n v="13.06"/>
        <n v="8.9600000000000009"/>
        <n v="13.36"/>
        <n v="11.39"/>
        <n v="12.44"/>
        <n v="8"/>
        <n v="18.41"/>
        <n v="17.670000000000002"/>
        <n v="17.02"/>
        <n v="15.65"/>
        <n v="29.66"/>
        <n v="14.35"/>
        <n v="20.95"/>
        <n v="10.4"/>
        <n v="29.23"/>
        <n v="9.61"/>
        <n v="24.49"/>
        <n v="11.03"/>
        <n v="21.97"/>
        <n v="20.75"/>
        <n v="19.940000000000001"/>
        <n v="17.87"/>
        <n v="13.1"/>
        <n v="12.85"/>
        <n v="19.93"/>
        <n v="15.69"/>
        <n v="8.5399999999999991"/>
        <n v="29.1"/>
        <n v="22.54"/>
        <n v="21.77"/>
        <n v="17.75"/>
        <n v="22.07"/>
        <n v="25.56"/>
        <n v="22.97"/>
        <n v="23.95"/>
        <n v="27.52"/>
        <n v="25"/>
        <n v="23.02"/>
        <n v="25.45"/>
        <n v="28"/>
        <n v="29.34"/>
        <n v="10.3"/>
        <n v="15.84"/>
        <n v="25.17"/>
        <n v="17.46"/>
        <n v="25.13"/>
        <n v="11.26"/>
        <n v="25.02"/>
        <n v="14.82"/>
        <n v="23.96"/>
        <n v="13.13"/>
        <n v="28.2"/>
        <n v="19.14"/>
        <n v="18.149999999999999"/>
        <n v="22.25"/>
        <n v="18.57"/>
        <n v="11.93"/>
        <n v="24.7"/>
        <n v="18.37"/>
        <n v="29.26"/>
        <n v="24.76"/>
        <n v="10.35"/>
        <n v="14.62"/>
        <n v="10.53"/>
        <n v="11.85"/>
        <n v="28.08"/>
        <n v="11.46"/>
        <n v="16.95"/>
        <n v="10.76"/>
        <n v="29.95"/>
        <n v="15.91"/>
        <n v="14.3"/>
      </sharedItems>
    </cacheField>
    <cacheField name="City" numFmtId="0">
      <sharedItems count="5">
        <s v="Kigali"/>
        <s v="Huye"/>
        <s v="Rubavu"/>
        <s v="Musanze"/>
        <s v="Rusizi"/>
      </sharedItems>
    </cacheField>
    <cacheField name="Customer Type" numFmtId="0">
      <sharedItems/>
    </cacheField>
    <cacheField name="Payment Method" numFmtId="0">
      <sharedItems/>
    </cacheField>
  </cacheFields>
  <extLst>
    <ext xmlns:x14="http://schemas.microsoft.com/office/spreadsheetml/2009/9/main" uri="{725AE2AE-9491-48be-B2B4-4EB974FC3084}">
      <x14:pivotCacheDefinition pivotCacheId="17985556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4.060855324075" createdVersion="8" refreshedVersion="8" minRefreshableVersion="3" recordCount="1" xr:uid="{A67F676C-5F1E-454C-B484-234BF14ED51A}">
  <cacheSource type="worksheet">
    <worksheetSource name="Table3"/>
  </cacheSource>
  <cacheFields count="5">
    <cacheField name="No.Customers/Wholesale" numFmtId="0">
      <sharedItems containsSemiMixedTypes="0" containsString="0" containsNumber="1" containsInteger="1" minValue="63" maxValue="63"/>
    </cacheField>
    <cacheField name="No.Customers/Retail" numFmtId="0">
      <sharedItems containsSemiMixedTypes="0" containsString="0" containsNumber="1" containsInteger="1" minValue="57" maxValue="57"/>
    </cacheField>
    <cacheField name="No.Customers/Mobile Money" numFmtId="0">
      <sharedItems containsSemiMixedTypes="0" containsString="0" containsNumber="1" containsInteger="1" minValue="44" maxValue="44"/>
    </cacheField>
    <cacheField name="No.Customers/Cash" numFmtId="0">
      <sharedItems containsSemiMixedTypes="0" containsString="0" containsNumber="1" containsInteger="1" minValue="48" maxValue="48"/>
    </cacheField>
    <cacheField name="No.customers/Card" numFmtId="0">
      <sharedItems containsSemiMixedTypes="0" containsString="0" containsNumber="1" containsInteger="1" minValue="28" maxValue="2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051270370372" createdVersion="8" refreshedVersion="8" minRefreshableVersion="3" recordCount="1" xr:uid="{ED28E865-D146-4AC0-A8AA-7EE2E13A6DCE}">
  <cacheSource type="worksheet">
    <worksheetSource name="Table4"/>
  </cacheSource>
  <cacheFields count="2">
    <cacheField name="No.male" numFmtId="0">
      <sharedItems containsSemiMixedTypes="0" containsString="0" containsNumber="1" containsInteger="1" minValue="55" maxValue="55" count="1">
        <n v="55"/>
      </sharedItems>
    </cacheField>
    <cacheField name="No.Female" numFmtId="0">
      <sharedItems containsSemiMixedTypes="0" containsString="0" containsNumber="1" containsInteger="1" minValue="65" maxValue="65" count="1">
        <n v="65"/>
      </sharedItems>
    </cacheField>
  </cacheFields>
  <extLst>
    <ext xmlns:x14="http://schemas.microsoft.com/office/spreadsheetml/2009/9/main" uri="{725AE2AE-9491-48be-B2B4-4EB974FC3084}">
      <x14:pivotCacheDefinition pivotCacheId="154424383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057173611109" createdVersion="8" refreshedVersion="8" minRefreshableVersion="3" recordCount="1" xr:uid="{7E5F0B00-4C9C-43E7-B8EA-0CCB0656A2E3}">
  <cacheSource type="worksheet">
    <worksheetSource name="Table5"/>
  </cacheSource>
  <cacheFields count="5">
    <cacheField name="No.Managers" numFmtId="0">
      <sharedItems containsSemiMixedTypes="0" containsString="0" containsNumber="1" containsInteger="1" minValue="19" maxValue="19"/>
    </cacheField>
    <cacheField name="No.Analysts" numFmtId="0">
      <sharedItems containsSemiMixedTypes="0" containsString="0" containsNumber="1" containsInteger="1" minValue="28" maxValue="28" count="1">
        <n v="28"/>
      </sharedItems>
    </cacheField>
    <cacheField name="No.Intern" numFmtId="0">
      <sharedItems containsSemiMixedTypes="0" containsString="0" containsNumber="1" containsInteger="1" minValue="23" maxValue="23"/>
    </cacheField>
    <cacheField name="No.Developers" numFmtId="0">
      <sharedItems containsSemiMixedTypes="0" containsString="0" containsNumber="1" containsInteger="1" minValue="25" maxValue="25"/>
    </cacheField>
    <cacheField name="No.Supports" numFmtId="0">
      <sharedItems containsSemiMixedTypes="0" containsString="0" containsNumber="1" containsInteger="1" minValue="25" maxValue="25"/>
    </cacheField>
  </cacheFields>
  <extLst>
    <ext xmlns:x14="http://schemas.microsoft.com/office/spreadsheetml/2009/9/main" uri="{725AE2AE-9491-48be-B2B4-4EB974FC3084}">
      <x14:pivotCacheDefinition pivotCacheId="184764015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088323032411" createdVersion="8" refreshedVersion="8" minRefreshableVersion="3" recordCount="120" xr:uid="{43825AC4-4CA0-4BB9-A4F5-EBC47517C2C6}">
  <cacheSource type="worksheet">
    <worksheetSource name="Table9"/>
  </cacheSource>
  <cacheFields count="3">
    <cacheField name="Department" numFmtId="0">
      <sharedItems count="5">
        <s v="HR"/>
        <s v="Marketing"/>
        <s v="Finance"/>
        <s v="IT"/>
        <s v="Operations"/>
      </sharedItems>
    </cacheField>
    <cacheField name="Performance" numFmtId="0">
      <sharedItems containsSemiMixedTypes="0" containsString="0" containsNumber="1" containsInteger="1" minValue="73" maxValue="94"/>
    </cacheField>
    <cacheField name="Performance%" numFmtId="10">
      <sharedItems containsSemiMixedTypes="0" containsString="0" containsNumber="1" minValue="0.72636815920398012" maxValue="0.93532338308457708" count="19">
        <n v="0.87562189054726369"/>
        <n v="0.74626865671641796"/>
        <n v="0.8159203980099502"/>
        <n v="0.90547263681592038"/>
        <n v="0.845771144278607"/>
        <n v="0.78606965174129351"/>
        <n v="0.89552238805970152"/>
        <n v="0.72636815920398012"/>
        <n v="0.86567164179104472"/>
        <n v="0.79601990049751248"/>
        <n v="0.91542288557213936"/>
        <n v="0.76616915422885568"/>
        <n v="0.83582089552238803"/>
        <n v="0.88557213930348255"/>
        <n v="0.93532338308457708"/>
        <n v="0.77611940298507465"/>
        <n v="0.80597014925373134"/>
        <n v="0.75621890547263682"/>
        <n v="0.85572139303482586"/>
      </sharedItems>
    </cacheField>
  </cacheFields>
  <extLst>
    <ext xmlns:x14="http://schemas.microsoft.com/office/spreadsheetml/2009/9/main" uri="{725AE2AE-9491-48be-B2B4-4EB974FC3084}">
      <x14:pivotCacheDefinition pivotCacheId="74899554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11631759259" createdVersion="8" refreshedVersion="8" minRefreshableVersion="3" recordCount="5" xr:uid="{77632863-AD28-4A74-BB3A-30F32588A13E}">
  <cacheSource type="worksheet">
    <worksheetSource name="Table10"/>
  </cacheSource>
  <cacheFields count="5">
    <cacheField name="Department" numFmtId="0">
      <sharedItems count="5">
        <s v="HR"/>
        <s v="Finance"/>
        <s v="Marketing"/>
        <s v="Operations"/>
        <s v="IT"/>
      </sharedItems>
    </cacheField>
    <cacheField name="Salary Range(200K-400K)" numFmtId="0">
      <sharedItems containsSemiMixedTypes="0" containsString="0" containsNumber="1" containsInteger="1" minValue="1" maxValue="9" count="5">
        <n v="9"/>
        <n v="8"/>
        <n v="7"/>
        <n v="5"/>
        <n v="1"/>
      </sharedItems>
    </cacheField>
    <cacheField name="Salary Range(400K-700K)" numFmtId="0">
      <sharedItems containsSemiMixedTypes="0" containsString="0" containsNumber="1" containsInteger="1" minValue="3" maxValue="9" count="4">
        <n v="5"/>
        <n v="9"/>
        <n v="7"/>
        <n v="3"/>
      </sharedItems>
    </cacheField>
    <cacheField name="Salary Range(700K-1M)" numFmtId="0">
      <sharedItems containsSemiMixedTypes="0" containsString="0" containsNumber="1" containsInteger="1" minValue="5" maxValue="9" count="4">
        <n v="6"/>
        <n v="8"/>
        <n v="9"/>
        <n v="5"/>
      </sharedItems>
    </cacheField>
    <cacheField name="Salary Range(M+)" numFmtId="0">
      <sharedItems containsSemiMixedTypes="0" containsString="0" containsNumber="1" containsInteger="1" minValue="3" maxValue="10" count="4">
        <n v="10"/>
        <n v="6"/>
        <n v="4"/>
        <n v="3"/>
      </sharedItems>
    </cacheField>
  </cacheFields>
  <extLst>
    <ext xmlns:x14="http://schemas.microsoft.com/office/spreadsheetml/2009/9/main" uri="{725AE2AE-9491-48be-B2B4-4EB974FC3084}">
      <x14:pivotCacheDefinition pivotCacheId="1715121800"/>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67.123640740741" createdVersion="8" refreshedVersion="8" minRefreshableVersion="3" recordCount="120" xr:uid="{7DE963FA-9F5F-4A39-97A4-7C4334C35007}">
  <cacheSource type="worksheet">
    <worksheetSource name="EmploymentData"/>
  </cacheSource>
  <cacheFields count="12">
    <cacheField name="Employee ID" numFmtId="0">
      <sharedItems count="120">
        <s v="E001"/>
        <s v="E002"/>
        <s v="E003"/>
        <s v="E004"/>
        <s v="E005"/>
        <s v="E006"/>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s v="E076"/>
        <s v="E077"/>
        <s v="E078"/>
        <s v="E079"/>
        <s v="E080"/>
        <s v="E081"/>
        <s v="E082"/>
        <s v="E083"/>
        <s v="E084"/>
        <s v="E085"/>
        <s v="E086"/>
        <s v="E087"/>
        <s v="E088"/>
        <s v="E089"/>
        <s v="E090"/>
        <s v="E091"/>
        <s v="E092"/>
        <s v="E093"/>
        <s v="E094"/>
        <s v="E095"/>
        <s v="E096"/>
        <s v="E097"/>
        <s v="E098"/>
        <s v="E099"/>
        <s v="E100"/>
        <s v="E101"/>
        <s v="E102"/>
        <s v="E103"/>
        <s v="E104"/>
        <s v="E105"/>
        <s v="E106"/>
        <s v="E107"/>
        <s v="E108"/>
        <s v="E109"/>
        <s v="E110"/>
        <s v="E111"/>
        <s v="E112"/>
        <s v="E113"/>
        <s v="E114"/>
        <s v="E115"/>
        <s v="E116"/>
        <s v="E117"/>
        <s v="E118"/>
        <s v="E119"/>
        <s v="E120"/>
      </sharedItems>
    </cacheField>
    <cacheField name="Employee Name" numFmtId="0">
      <sharedItems containsBlank="1" count="120">
        <s v="Aarav Sharma"/>
        <s v="Bella Joseph"/>
        <s v="Chris Muire"/>
        <s v="Diane Uwera"/>
        <s v="Emmanuel Ndajizeye"/>
        <s v="Faith Nyiransanana"/>
        <s v="Gaspard Rukundo"/>
        <s v="Hannah Mukamama"/>
        <s v="Ishimwe Patrick"/>
        <s v="Janet Uwase"/>
        <s v="Kevin Niyonizima"/>
        <s v="Leah Ingabire"/>
        <s v="Michael Habimana"/>
        <s v="Naomi Umutesi"/>
        <s v="Olivier Nkurunziza"/>
        <s v="Patrick Mukarugwiza"/>
        <s v="Quentin Bizimana"/>
        <s v="Raissa Gahongayire"/>
        <s v="Samuel Hategekimana"/>
        <s v="Teta Iradukunda"/>
        <s v="Umutoni Claudine"/>
        <s v="Vianney Hakizimana"/>
        <s v="Wendy Nyirasafari"/>
        <s v="Yves Mugabo"/>
        <s v="Alice Nyirabasitsi"/>
        <s v="Bruce Nizeyimana"/>
        <s v="Carine Mukeshimana"/>
        <s v="David Nsabimana"/>
        <s v="Evelyne Uwimana"/>
        <s v="Frank Nahuti"/>
        <s v="Gabriella Mukandayisenga"/>
        <s v="Herve Ngarambe"/>
        <s v="Irakóze Sandrine"/>
        <s v="Jean Claude Nshirimbimana"/>
        <s v="Josiane Mukasine"/>
        <s v="Kenny Ndayisaba"/>
        <s v="Lydia Nyirababarewa"/>
        <s v="Manzi Theogene"/>
        <s v="Nadine Imanibazayo"/>
        <s v="Oscar Nkundineza"/>
        <s v="Patience Muhawimenama"/>
        <s v="Pierre Habiyakare"/>
        <s v="Queen Nyinawumuntu"/>
        <s v="Ruben Mugisha"/>
        <s v="Solange Uwizeye"/>
        <s v="Thierry Uwigeze"/>
        <s v="Umuhire Jeanne"/>
        <s v="Valens Ntirenganya"/>
        <s v="Willy Niyonkuru"/>
        <s v="Yvonne Mukeshimana"/>
        <s v="Alain Ruyitayire"/>
        <s v="Beatrice Nyiranshutsi"/>
        <s v="Cedric Irakóze"/>
        <s v="Dancille Uwiyeyimana"/>
        <s v="Emile Niyibizi"/>
        <s v="Frida Mukamusoni"/>
        <s v="Guillaume Nshiyimana"/>
        <s v="Hope Uwize"/>
        <s v="Isaac Muneza"/>
        <s v="Jackline Nyirambagiza"/>
        <m/>
        <s v="Employee Name"/>
        <s v=":------------"/>
        <s v="Kevin Manirakiza"/>
        <s v="Linda Mukamuriza"/>
        <s v="Marc Ndayambaje"/>
        <s v="Nelly Uwimahoro"/>
        <s v="Olivier Karake"/>
        <s v="Paul Nyirakibibi"/>
        <s v="Ricky Iyamuremye"/>
        <s v="Salome Nyiramana"/>
        <s v="Theodore Nizeyimana"/>
        <s v="Uwoera Claudette"/>
        <s v="Victor Ndayishimiye"/>
        <s v="Wendy Ishimwe"/>
        <s v="Yannick Kubwimana"/>
        <s v="Zoe Uwingabire"/>
        <s v="Andre Nkurikiye"/>
        <s v="Brenda Nshimiye"/>
        <s v="Christian Mugabo"/>
        <s v="Diane Nyiringango"/>
        <s v="Emery Ntaktirimana"/>
        <s v="Fiona Mukagemana"/>
        <s v="Girish Niyitegeka"/>
        <s v="Grace Irumva"/>
        <s v="Hector Niyonsenga"/>
        <s v="Irene Mukandutiye"/>
        <s v="Jean Bosco Nshirimana"/>
        <s v="Kwanda Uwhoreye"/>
        <s v="Lionel Ndarukunda"/>
        <s v="Mireille Kagoya"/>
        <s v="Nathan Nshimyimureremyi"/>
        <s v="Olga Mukaya"/>
        <s v="Patrick Nkurunziza"/>
        <s v="Queeniette Nyirawaibicanye"/>
        <s v="Raphael Uwomaro"/>
        <s v="Sandrine Mukashyaka"/>
        <s v="Timothee Habimana"/>
        <s v="Umutoni Sandrine"/>
        <s v="Valentine Nyirahabimana"/>
        <s v="Wilson Nizeyimana"/>
        <s v="Yvette Nyiransenze"/>
        <s v="Zacharie Nyomwungeri"/>
        <s v="Albert Ndaye"/>
        <s v="Bianca Umuhoza"/>
        <s v="Claude Ndayishimiye"/>
        <s v="Danielle Nyiraniza"/>
        <s v="Emile Niyonzima"/>
        <s v="Gloria Umurungi"/>
        <s v="Hugues Ngenzebuhoro"/>
        <s v="Irene Nkinukira"/>
        <s v="Jeanine Mukasonga"/>
        <s v="Kevin Habararira"/>
        <s v="Linda Uwase"/>
        <s v="Manasseh Nshimirimana"/>
        <s v="Nathalie Niyibisi"/>
        <s v="Oscar Nizeyimana"/>
        <s v="Patricia Nyirashongza"/>
        <s v="Quentin Nkurunziza"/>
        <s v="Ruth Umulisa"/>
      </sharedItems>
    </cacheField>
    <cacheField name="Gender" numFmtId="0">
      <sharedItems/>
    </cacheField>
    <cacheField name="Age Group" numFmtId="0">
      <sharedItems/>
    </cacheField>
    <cacheField name="Job Category" numFmtId="0">
      <sharedItems count="5">
        <s v="Intern"/>
        <s v="Developer"/>
        <s v="Manager"/>
        <s v="Support"/>
        <s v="Analyst"/>
      </sharedItems>
    </cacheField>
    <cacheField name="Employment Status" numFmtId="0">
      <sharedItems count="4">
        <s v="Active"/>
        <s v="Intern"/>
        <s v="Resigned"/>
        <s v="Contract"/>
      </sharedItems>
    </cacheField>
    <cacheField name="Department" numFmtId="0">
      <sharedItems count="5">
        <s v="HR"/>
        <s v="Marketing"/>
        <s v="Finance"/>
        <s v="IT"/>
        <s v="Operations"/>
      </sharedItems>
    </cacheField>
    <cacheField name="Column1" numFmtId="0">
      <sharedItems containsNonDate="0" containsString="0" containsBlank="1"/>
    </cacheField>
    <cacheField name="Salary Range" numFmtId="0">
      <sharedItems count="4">
        <s v="1M+"/>
        <s v="400K-700K"/>
        <s v="200K-400K"/>
        <s v="700K-1M"/>
      </sharedItems>
    </cacheField>
    <cacheField name="City" numFmtId="0">
      <sharedItems count="5">
        <s v="Musanze"/>
        <s v="Huye"/>
        <s v="Rusizi"/>
        <s v="Rubavu"/>
        <s v="Kigali"/>
      </sharedItems>
    </cacheField>
    <cacheField name="Performance Score" numFmtId="0">
      <sharedItems containsSemiMixedTypes="0" containsString="0" containsNumber="1" containsInteger="1" minValue="73" maxValue="94"/>
    </cacheField>
    <cacheField name="Performance%" numFmtId="0">
      <sharedItems containsSemiMixedTypes="0" containsString="0" containsNumber="1" minValue="0.72636815920398012" maxValue="0.93532338308457708"/>
    </cacheField>
  </cacheFields>
  <extLst>
    <ext xmlns:x14="http://schemas.microsoft.com/office/spreadsheetml/2009/9/main" uri="{725AE2AE-9491-48be-B2B4-4EB974FC3084}">
      <x14:pivotCacheDefinition pivotCacheId="4555452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P006"/>
    <x v="0"/>
    <s v="Electronics"/>
    <x v="0"/>
    <s v="December"/>
    <n v="271325"/>
    <n v="25"/>
    <x v="0"/>
    <n v="52785"/>
    <x v="0"/>
    <x v="0"/>
    <s v="Wholesale"/>
    <s v="Mobile Money"/>
  </r>
  <r>
    <s v="P006"/>
    <x v="0"/>
    <s v="Electronics"/>
    <x v="0"/>
    <s v="October"/>
    <n v="1197358"/>
    <n v="20"/>
    <x v="1"/>
    <n v="170144.91"/>
    <x v="1"/>
    <x v="0"/>
    <s v="Wholesale"/>
    <s v="Mobile Money"/>
  </r>
  <r>
    <s v="P006"/>
    <x v="0"/>
    <s v="Electronics"/>
    <x v="1"/>
    <s v="April"/>
    <n v="610879"/>
    <n v="35"/>
    <x v="2"/>
    <n v="70795.91"/>
    <x v="2"/>
    <x v="1"/>
    <s v="Retail"/>
    <s v="Cash"/>
  </r>
  <r>
    <s v="P007"/>
    <x v="1"/>
    <s v="Stationery"/>
    <x v="2"/>
    <s v="April"/>
    <n v="814886"/>
    <n v="38"/>
    <x v="3"/>
    <n v="190484.32"/>
    <x v="3"/>
    <x v="2"/>
    <s v="Retail"/>
    <s v="Card"/>
  </r>
  <r>
    <s v="P007"/>
    <x v="1"/>
    <s v="Stationery"/>
    <x v="1"/>
    <s v="May"/>
    <n v="916812"/>
    <n v="6"/>
    <x v="4"/>
    <n v="260207.43"/>
    <x v="4"/>
    <x v="2"/>
    <s v="Wholesale"/>
    <s v="Cash"/>
  </r>
  <r>
    <s v="P006"/>
    <x v="0"/>
    <s v="Electronics"/>
    <x v="2"/>
    <s v="August"/>
    <n v="468651"/>
    <n v="20"/>
    <x v="5"/>
    <n v="127682.63"/>
    <x v="5"/>
    <x v="1"/>
    <s v="Retail"/>
    <s v="Mobile Money"/>
  </r>
  <r>
    <s v="P002"/>
    <x v="2"/>
    <s v="Electronics"/>
    <x v="0"/>
    <s v="November"/>
    <n v="450022"/>
    <n v="6"/>
    <x v="6"/>
    <n v="78638.720000000001"/>
    <x v="6"/>
    <x v="2"/>
    <s v="Wholesale"/>
    <s v="Mobile Money"/>
  </r>
  <r>
    <s v="P007"/>
    <x v="1"/>
    <s v="Stationery"/>
    <x v="1"/>
    <s v="June"/>
    <n v="1030077"/>
    <n v="5"/>
    <x v="7"/>
    <n v="200283.39"/>
    <x v="7"/>
    <x v="2"/>
    <s v="Retail"/>
    <s v="Cash"/>
  </r>
  <r>
    <s v="P004"/>
    <x v="3"/>
    <s v="Furniture"/>
    <x v="1"/>
    <s v="September"/>
    <n v="1079129"/>
    <n v="25"/>
    <x v="8"/>
    <n v="106289.41"/>
    <x v="8"/>
    <x v="2"/>
    <s v="Wholesale"/>
    <s v="Mobile Money"/>
  </r>
  <r>
    <s v="P008"/>
    <x v="4"/>
    <s v="Stationery"/>
    <x v="1"/>
    <s v="February"/>
    <n v="1240686"/>
    <n v="31"/>
    <x v="9"/>
    <n v="104318.24"/>
    <x v="9"/>
    <x v="0"/>
    <s v="Retail"/>
    <s v="Card"/>
  </r>
  <r>
    <s v="P002"/>
    <x v="2"/>
    <s v="Electronics"/>
    <x v="2"/>
    <s v="March"/>
    <n v="617591"/>
    <n v="27"/>
    <x v="10"/>
    <n v="133780.14000000001"/>
    <x v="10"/>
    <x v="3"/>
    <s v="Wholesale"/>
    <s v="Cash"/>
  </r>
  <r>
    <s v="P003"/>
    <x v="5"/>
    <s v="Furniture"/>
    <x v="0"/>
    <s v="November"/>
    <n v="301636"/>
    <n v="44"/>
    <x v="11"/>
    <n v="41210.879999999997"/>
    <x v="11"/>
    <x v="2"/>
    <s v="Wholesale"/>
    <s v="Card"/>
  </r>
  <r>
    <s v="P001"/>
    <x v="6"/>
    <s v="Electronics"/>
    <x v="2"/>
    <s v="December"/>
    <n v="1362926"/>
    <n v="39"/>
    <x v="12"/>
    <n v="173088.48"/>
    <x v="12"/>
    <x v="1"/>
    <s v="Wholesale"/>
    <s v="Cash"/>
  </r>
  <r>
    <s v="P001"/>
    <x v="6"/>
    <s v="Electronics"/>
    <x v="0"/>
    <s v="June"/>
    <n v="1166315"/>
    <n v="5"/>
    <x v="13"/>
    <n v="122507.36"/>
    <x v="13"/>
    <x v="2"/>
    <s v="Retail"/>
    <s v="Mobile Money"/>
  </r>
  <r>
    <s v="P003"/>
    <x v="5"/>
    <s v="Furniture"/>
    <x v="2"/>
    <s v="October"/>
    <n v="1019769"/>
    <n v="33"/>
    <x v="14"/>
    <n v="122061.64"/>
    <x v="14"/>
    <x v="1"/>
    <s v="Retail"/>
    <s v="Cash"/>
  </r>
  <r>
    <s v="P005"/>
    <x v="7"/>
    <s v="Office"/>
    <x v="2"/>
    <s v="October"/>
    <n v="707520"/>
    <n v="10"/>
    <x v="15"/>
    <n v="166400.51"/>
    <x v="15"/>
    <x v="0"/>
    <s v="Retail"/>
    <s v="Cash"/>
  </r>
  <r>
    <s v="P004"/>
    <x v="3"/>
    <s v="Furniture"/>
    <x v="2"/>
    <s v="May"/>
    <n v="898211"/>
    <n v="33"/>
    <x v="16"/>
    <n v="173285.43"/>
    <x v="16"/>
    <x v="0"/>
    <s v="Wholesale"/>
    <s v="Cash"/>
  </r>
  <r>
    <s v="P005"/>
    <x v="7"/>
    <s v="Office"/>
    <x v="0"/>
    <s v="July"/>
    <n v="175185"/>
    <n v="6"/>
    <x v="17"/>
    <n v="52155.06"/>
    <x v="17"/>
    <x v="2"/>
    <s v="Retail"/>
    <s v="Mobile Money"/>
  </r>
  <r>
    <s v="P007"/>
    <x v="1"/>
    <s v="Stationery"/>
    <x v="0"/>
    <s v="May"/>
    <n v="1165760"/>
    <n v="23"/>
    <x v="18"/>
    <n v="346765.22"/>
    <x v="18"/>
    <x v="2"/>
    <s v="Wholesale"/>
    <s v="Cash"/>
  </r>
  <r>
    <s v="P003"/>
    <x v="5"/>
    <s v="Furniture"/>
    <x v="1"/>
    <s v="April"/>
    <n v="797342"/>
    <n v="7"/>
    <x v="19"/>
    <n v="156490.42000000001"/>
    <x v="19"/>
    <x v="1"/>
    <s v="Retail"/>
    <s v="Card"/>
  </r>
  <r>
    <s v="P003"/>
    <x v="5"/>
    <s v="Furniture"/>
    <x v="0"/>
    <s v="August"/>
    <n v="1278078"/>
    <n v="28"/>
    <x v="20"/>
    <n v="208686.02"/>
    <x v="20"/>
    <x v="3"/>
    <s v="Wholesale"/>
    <s v="Cash"/>
  </r>
  <r>
    <s v="P002"/>
    <x v="2"/>
    <s v="Electronics"/>
    <x v="2"/>
    <s v="October"/>
    <n v="184047"/>
    <n v="28"/>
    <x v="21"/>
    <n v="44456.639999999999"/>
    <x v="21"/>
    <x v="3"/>
    <s v="Retail"/>
    <s v="Mobile Money"/>
  </r>
  <r>
    <s v="P007"/>
    <x v="1"/>
    <s v="Stationery"/>
    <x v="1"/>
    <s v="June"/>
    <n v="1358191"/>
    <n v="14"/>
    <x v="22"/>
    <n v="119993.14"/>
    <x v="22"/>
    <x v="2"/>
    <s v="Wholesale"/>
    <s v="Mobile Money"/>
  </r>
  <r>
    <s v="P001"/>
    <x v="6"/>
    <s v="Electronics"/>
    <x v="0"/>
    <s v="January"/>
    <n v="704085"/>
    <n v="46"/>
    <x v="23"/>
    <n v="136379.96"/>
    <x v="23"/>
    <x v="0"/>
    <s v="Wholesale"/>
    <s v="Cash"/>
  </r>
  <r>
    <s v="P004"/>
    <x v="3"/>
    <s v="Furniture"/>
    <x v="0"/>
    <s v="February"/>
    <n v="94739"/>
    <n v="35"/>
    <x v="24"/>
    <n v="27979.49"/>
    <x v="24"/>
    <x v="3"/>
    <s v="Wholesale"/>
    <s v="Mobile Money"/>
  </r>
  <r>
    <s v="P007"/>
    <x v="1"/>
    <s v="Stationery"/>
    <x v="0"/>
    <s v="September"/>
    <n v="79145"/>
    <n v="42"/>
    <x v="25"/>
    <n v="12433.18"/>
    <x v="25"/>
    <x v="4"/>
    <s v="Wholesale"/>
    <s v="Cash"/>
  </r>
  <r>
    <s v="P001"/>
    <x v="6"/>
    <s v="Electronics"/>
    <x v="1"/>
    <s v="September"/>
    <n v="473233"/>
    <n v="42"/>
    <x v="26"/>
    <n v="71700.14"/>
    <x v="26"/>
    <x v="2"/>
    <s v="Wholesale"/>
    <s v="Cash"/>
  </r>
  <r>
    <s v="P007"/>
    <x v="1"/>
    <s v="Stationery"/>
    <x v="1"/>
    <s v="September"/>
    <n v="264362"/>
    <n v="29"/>
    <x v="27"/>
    <n v="54156.46"/>
    <x v="27"/>
    <x v="2"/>
    <s v="Retail"/>
    <s v="Mobile Money"/>
  </r>
  <r>
    <s v="P001"/>
    <x v="6"/>
    <s v="Electronics"/>
    <x v="2"/>
    <s v="September"/>
    <n v="973857"/>
    <n v="26"/>
    <x v="28"/>
    <n v="210579.08"/>
    <x v="28"/>
    <x v="2"/>
    <s v="Wholesale"/>
    <s v="Cash"/>
  </r>
  <r>
    <s v="P004"/>
    <x v="3"/>
    <s v="Furniture"/>
    <x v="0"/>
    <s v="July"/>
    <n v="801630"/>
    <n v="23"/>
    <x v="29"/>
    <n v="117260.39"/>
    <x v="29"/>
    <x v="1"/>
    <s v="Retail"/>
    <s v="Mobile Money"/>
  </r>
  <r>
    <s v="P002"/>
    <x v="2"/>
    <s v="Electronics"/>
    <x v="2"/>
    <s v="October"/>
    <n v="330000"/>
    <n v="37"/>
    <x v="30"/>
    <n v="75485.91"/>
    <x v="30"/>
    <x v="2"/>
    <s v="Retail"/>
    <s v="Cash"/>
  </r>
  <r>
    <s v="P006"/>
    <x v="0"/>
    <s v="Electronics"/>
    <x v="2"/>
    <s v="August"/>
    <n v="1313128"/>
    <n v="22"/>
    <x v="31"/>
    <n v="113732.52"/>
    <x v="31"/>
    <x v="4"/>
    <s v="Wholesale"/>
    <s v="Cash"/>
  </r>
  <r>
    <s v="P006"/>
    <x v="0"/>
    <s v="Electronics"/>
    <x v="0"/>
    <s v="November"/>
    <n v="656849"/>
    <n v="14"/>
    <x v="32"/>
    <n v="135346.35"/>
    <x v="32"/>
    <x v="3"/>
    <s v="Wholesale"/>
    <s v="Mobile Money"/>
  </r>
  <r>
    <s v="P006"/>
    <x v="0"/>
    <s v="Electronics"/>
    <x v="0"/>
    <s v="June"/>
    <n v="346743"/>
    <n v="17"/>
    <x v="33"/>
    <n v="59227.45"/>
    <x v="33"/>
    <x v="2"/>
    <s v="Retail"/>
    <s v="Card"/>
  </r>
  <r>
    <s v="P004"/>
    <x v="3"/>
    <s v="Furniture"/>
    <x v="1"/>
    <s v="March"/>
    <n v="1065995"/>
    <n v="29"/>
    <x v="34"/>
    <n v="100495.34"/>
    <x v="34"/>
    <x v="4"/>
    <s v="Wholesale"/>
    <s v="Mobile Money"/>
  </r>
  <r>
    <s v="P004"/>
    <x v="3"/>
    <s v="Furniture"/>
    <x v="0"/>
    <s v="December"/>
    <n v="161702"/>
    <n v="4"/>
    <x v="35"/>
    <n v="17666.22"/>
    <x v="35"/>
    <x v="2"/>
    <s v="Wholesale"/>
    <s v="Cash"/>
  </r>
  <r>
    <s v="P005"/>
    <x v="7"/>
    <s v="Office"/>
    <x v="2"/>
    <s v="October"/>
    <n v="1017173"/>
    <n v="50"/>
    <x v="36"/>
    <n v="98831.84"/>
    <x v="36"/>
    <x v="2"/>
    <s v="Wholesale"/>
    <s v="Card"/>
  </r>
  <r>
    <s v="P007"/>
    <x v="1"/>
    <s v="Stationery"/>
    <x v="1"/>
    <s v="July"/>
    <n v="848707"/>
    <n v="45"/>
    <x v="37"/>
    <n v="203874.73"/>
    <x v="37"/>
    <x v="2"/>
    <s v="Retail"/>
    <s v="Mobile Money"/>
  </r>
  <r>
    <s v="P008"/>
    <x v="4"/>
    <s v="Stationery"/>
    <x v="1"/>
    <s v="June"/>
    <n v="1107583"/>
    <n v="20"/>
    <x v="38"/>
    <n v="231158.02"/>
    <x v="38"/>
    <x v="0"/>
    <s v="Wholesale"/>
    <s v="Cash"/>
  </r>
  <r>
    <s v="P002"/>
    <x v="2"/>
    <s v="Electronics"/>
    <x v="1"/>
    <s v="March"/>
    <n v="88193"/>
    <n v="47"/>
    <x v="39"/>
    <n v="12851.93"/>
    <x v="39"/>
    <x v="0"/>
    <s v="Wholesale"/>
    <s v="Cash"/>
  </r>
  <r>
    <s v="P004"/>
    <x v="3"/>
    <s v="Furniture"/>
    <x v="2"/>
    <s v="November"/>
    <n v="662872"/>
    <n v="34"/>
    <x v="40"/>
    <n v="167126.24"/>
    <x v="40"/>
    <x v="3"/>
    <s v="Retail"/>
    <s v="Mobile Money"/>
  </r>
  <r>
    <s v="P002"/>
    <x v="2"/>
    <s v="Electronics"/>
    <x v="2"/>
    <s v="December"/>
    <n v="829631"/>
    <n v="28"/>
    <x v="41"/>
    <n v="114320.94"/>
    <x v="41"/>
    <x v="0"/>
    <s v="Retail"/>
    <s v="Card"/>
  </r>
  <r>
    <s v="P002"/>
    <x v="2"/>
    <s v="Electronics"/>
    <x v="1"/>
    <s v="February"/>
    <n v="491302"/>
    <n v="23"/>
    <x v="42"/>
    <n v="52582.3"/>
    <x v="42"/>
    <x v="2"/>
    <s v="Wholesale"/>
    <s v="Mobile Money"/>
  </r>
  <r>
    <s v="P001"/>
    <x v="6"/>
    <s v="Electronics"/>
    <x v="0"/>
    <s v="June"/>
    <n v="907850"/>
    <n v="27"/>
    <x v="43"/>
    <n v="90809.87"/>
    <x v="43"/>
    <x v="1"/>
    <s v="Retail"/>
    <s v="Card"/>
  </r>
  <r>
    <s v="P007"/>
    <x v="1"/>
    <s v="Stationery"/>
    <x v="1"/>
    <s v="June"/>
    <n v="913399"/>
    <n v="40"/>
    <x v="44"/>
    <n v="229064.87"/>
    <x v="44"/>
    <x v="0"/>
    <s v="Retail"/>
    <s v="Card"/>
  </r>
  <r>
    <s v="P007"/>
    <x v="1"/>
    <s v="Stationery"/>
    <x v="1"/>
    <s v="July"/>
    <n v="161907"/>
    <n v="10"/>
    <x v="45"/>
    <n v="21242.15"/>
    <x v="45"/>
    <x v="2"/>
    <s v="Retail"/>
    <s v="Cash"/>
  </r>
  <r>
    <s v="P007"/>
    <x v="1"/>
    <s v="Stationery"/>
    <x v="0"/>
    <s v="October"/>
    <n v="939683"/>
    <n v="40"/>
    <x v="46"/>
    <n v="122750.95"/>
    <x v="46"/>
    <x v="4"/>
    <s v="Retail"/>
    <s v="Mobile Money"/>
  </r>
  <r>
    <s v="P008"/>
    <x v="4"/>
    <s v="Stationery"/>
    <x v="2"/>
    <s v="August"/>
    <n v="1274293"/>
    <n v="27"/>
    <x v="47"/>
    <n v="114161.42"/>
    <x v="47"/>
    <x v="2"/>
    <s v="Retail"/>
    <s v="Card"/>
  </r>
  <r>
    <s v="P008"/>
    <x v="4"/>
    <s v="Stationery"/>
    <x v="2"/>
    <s v="March"/>
    <n v="1143589"/>
    <n v="14"/>
    <x v="48"/>
    <n v="152825.57"/>
    <x v="48"/>
    <x v="1"/>
    <s v="Retail"/>
    <s v="Cash"/>
  </r>
  <r>
    <s v="P008"/>
    <x v="4"/>
    <s v="Stationery"/>
    <x v="1"/>
    <s v="August"/>
    <n v="251116"/>
    <n v="17"/>
    <x v="49"/>
    <n v="28591.87"/>
    <x v="49"/>
    <x v="3"/>
    <s v="Retail"/>
    <s v="Mobile Money"/>
  </r>
  <r>
    <s v="P001"/>
    <x v="6"/>
    <s v="Electronics"/>
    <x v="2"/>
    <s v="August"/>
    <n v="157189"/>
    <n v="43"/>
    <x v="50"/>
    <n v="19560.13"/>
    <x v="50"/>
    <x v="3"/>
    <s v="Retail"/>
    <s v="Cash"/>
  </r>
  <r>
    <s v="P008"/>
    <x v="4"/>
    <s v="Stationery"/>
    <x v="1"/>
    <s v="September"/>
    <n v="917887"/>
    <n v="20"/>
    <x v="51"/>
    <n v="73466.570000000007"/>
    <x v="51"/>
    <x v="1"/>
    <s v="Wholesale"/>
    <s v="Card"/>
  </r>
  <r>
    <s v="P005"/>
    <x v="7"/>
    <s v="Office"/>
    <x v="2"/>
    <s v="November"/>
    <n v="997987"/>
    <n v="2"/>
    <x v="52"/>
    <n v="183748.78"/>
    <x v="52"/>
    <x v="3"/>
    <s v="Retail"/>
    <s v="Cash"/>
  </r>
  <r>
    <s v="P001"/>
    <x v="6"/>
    <s v="Electronics"/>
    <x v="0"/>
    <s v="November"/>
    <n v="1063030"/>
    <n v="20"/>
    <x v="53"/>
    <n v="187866.32"/>
    <x v="53"/>
    <x v="3"/>
    <s v="Retail"/>
    <s v="Mobile Money"/>
  </r>
  <r>
    <s v="P003"/>
    <x v="5"/>
    <s v="Furniture"/>
    <x v="2"/>
    <s v="May"/>
    <n v="243632"/>
    <n v="24"/>
    <x v="54"/>
    <n v="41458.75"/>
    <x v="54"/>
    <x v="0"/>
    <s v="Wholesale"/>
    <s v="Cash"/>
  </r>
  <r>
    <s v="P003"/>
    <x v="5"/>
    <s v="Furniture"/>
    <x v="0"/>
    <s v="January"/>
    <n v="1040204"/>
    <n v="25"/>
    <x v="55"/>
    <n v="162756.96"/>
    <x v="55"/>
    <x v="4"/>
    <s v="Retail"/>
    <s v="Mobile Money"/>
  </r>
  <r>
    <s v="P007"/>
    <x v="1"/>
    <s v="Stationery"/>
    <x v="2"/>
    <s v="February"/>
    <n v="740094"/>
    <n v="34"/>
    <x v="56"/>
    <n v="219486.47"/>
    <x v="56"/>
    <x v="0"/>
    <s v="Retail"/>
    <s v="Mobile Money"/>
  </r>
  <r>
    <s v="P006"/>
    <x v="0"/>
    <s v="Electronics"/>
    <x v="1"/>
    <s v="March"/>
    <n v="434562"/>
    <n v="44"/>
    <x v="57"/>
    <n v="62339.87"/>
    <x v="57"/>
    <x v="3"/>
    <s v="Retail"/>
    <s v="Cash"/>
  </r>
  <r>
    <s v="P002"/>
    <x v="2"/>
    <s v="Electronics"/>
    <x v="0"/>
    <s v="December"/>
    <n v="1419450"/>
    <n v="38"/>
    <x v="58"/>
    <n v="297348.2"/>
    <x v="58"/>
    <x v="0"/>
    <s v="Wholesale"/>
    <s v="Cash"/>
  </r>
  <r>
    <s v="P005"/>
    <x v="7"/>
    <s v="Office"/>
    <x v="2"/>
    <s v="October"/>
    <n v="1347344"/>
    <n v="35"/>
    <x v="59"/>
    <n v="140137.10999999999"/>
    <x v="59"/>
    <x v="3"/>
    <s v="Wholesale"/>
    <s v="Card"/>
  </r>
  <r>
    <s v="P005"/>
    <x v="7"/>
    <s v="Office"/>
    <x v="0"/>
    <s v="August"/>
    <n v="882333"/>
    <n v="17"/>
    <x v="60"/>
    <n v="257948.71"/>
    <x v="60"/>
    <x v="1"/>
    <s v="Wholesale"/>
    <s v="Mobile Money"/>
  </r>
  <r>
    <s v="P004"/>
    <x v="3"/>
    <s v="Furniture"/>
    <x v="2"/>
    <s v="November"/>
    <n v="606549"/>
    <n v="37"/>
    <x v="61"/>
    <n v="58305.53"/>
    <x v="61"/>
    <x v="1"/>
    <s v="Retail"/>
    <s v="Mobile Money"/>
  </r>
  <r>
    <s v="P003"/>
    <x v="5"/>
    <s v="Furniture"/>
    <x v="2"/>
    <s v="August"/>
    <n v="866316"/>
    <n v="42"/>
    <x v="62"/>
    <n v="212201.56"/>
    <x v="62"/>
    <x v="3"/>
    <s v="Wholesale"/>
    <s v="Cash"/>
  </r>
  <r>
    <s v="P002"/>
    <x v="2"/>
    <s v="Electronics"/>
    <x v="0"/>
    <s v="April"/>
    <n v="836798"/>
    <n v="49"/>
    <x v="63"/>
    <n v="92330.25"/>
    <x v="63"/>
    <x v="1"/>
    <s v="Retail"/>
    <s v="Cash"/>
  </r>
  <r>
    <s v="P005"/>
    <x v="7"/>
    <s v="Office"/>
    <x v="0"/>
    <s v="July"/>
    <n v="107279"/>
    <n v="19"/>
    <x v="64"/>
    <n v="23567.360000000001"/>
    <x v="64"/>
    <x v="0"/>
    <s v="Retail"/>
    <s v="Mobile Money"/>
  </r>
  <r>
    <s v="P006"/>
    <x v="0"/>
    <s v="Electronics"/>
    <x v="2"/>
    <s v="July"/>
    <n v="1292190"/>
    <n v="28"/>
    <x v="65"/>
    <n v="268167.26"/>
    <x v="65"/>
    <x v="1"/>
    <s v="Wholesale"/>
    <s v="Cash"/>
  </r>
  <r>
    <s v="P006"/>
    <x v="0"/>
    <s v="Electronics"/>
    <x v="1"/>
    <s v="June"/>
    <n v="1234547"/>
    <n v="22"/>
    <x v="66"/>
    <n v="246151.29"/>
    <x v="66"/>
    <x v="1"/>
    <s v="Retail"/>
    <s v="Mobile Money"/>
  </r>
  <r>
    <s v="P006"/>
    <x v="0"/>
    <s v="Electronics"/>
    <x v="2"/>
    <s v="March"/>
    <n v="448235"/>
    <n v="38"/>
    <x v="67"/>
    <n v="80084.78"/>
    <x v="67"/>
    <x v="4"/>
    <s v="Wholesale"/>
    <s v="Cash"/>
  </r>
  <r>
    <s v="P001"/>
    <x v="6"/>
    <s v="Electronics"/>
    <x v="1"/>
    <s v="January"/>
    <n v="210423"/>
    <n v="40"/>
    <x v="68"/>
    <n v="27570.89"/>
    <x v="68"/>
    <x v="3"/>
    <s v="Wholesale"/>
    <s v="Cash"/>
  </r>
  <r>
    <s v="P005"/>
    <x v="7"/>
    <s v="Office"/>
    <x v="2"/>
    <s v="June"/>
    <n v="398334"/>
    <n v="45"/>
    <x v="69"/>
    <n v="51167.77"/>
    <x v="69"/>
    <x v="4"/>
    <s v="Retail"/>
    <s v="Cash"/>
  </r>
  <r>
    <s v="P004"/>
    <x v="3"/>
    <s v="Furniture"/>
    <x v="0"/>
    <s v="November"/>
    <n v="1171220"/>
    <n v="9"/>
    <x v="70"/>
    <n v="233378.38"/>
    <x v="70"/>
    <x v="2"/>
    <s v="Wholesale"/>
    <s v="Card"/>
  </r>
  <r>
    <s v="P001"/>
    <x v="6"/>
    <s v="Electronics"/>
    <x v="0"/>
    <s v="May"/>
    <n v="383298"/>
    <n v="12"/>
    <x v="71"/>
    <n v="60137.21"/>
    <x v="71"/>
    <x v="0"/>
    <s v="Retail"/>
    <s v="Cash"/>
  </r>
  <r>
    <s v="P002"/>
    <x v="2"/>
    <s v="Electronics"/>
    <x v="0"/>
    <s v="August"/>
    <n v="570880"/>
    <n v="36"/>
    <x v="72"/>
    <n v="48730.03"/>
    <x v="72"/>
    <x v="0"/>
    <s v="Retail"/>
    <s v="Mobile Money"/>
  </r>
  <r>
    <s v="P008"/>
    <x v="4"/>
    <s v="Stationery"/>
    <x v="0"/>
    <s v="October"/>
    <n v="1348613"/>
    <n v="25"/>
    <x v="73"/>
    <n v="392465.99"/>
    <x v="73"/>
    <x v="2"/>
    <s v="Wholesale"/>
    <s v="Cash"/>
  </r>
  <r>
    <s v="P008"/>
    <x v="4"/>
    <s v="Stationery"/>
    <x v="1"/>
    <s v="December"/>
    <n v="1234008"/>
    <n v="2"/>
    <x v="74"/>
    <n v="278089.59000000003"/>
    <x v="74"/>
    <x v="3"/>
    <s v="Wholesale"/>
    <s v="Mobile Money"/>
  </r>
  <r>
    <s v="P006"/>
    <x v="0"/>
    <s v="Electronics"/>
    <x v="1"/>
    <s v="September"/>
    <n v="272446"/>
    <n v="45"/>
    <x v="75"/>
    <n v="59298.38"/>
    <x v="75"/>
    <x v="3"/>
    <s v="Wholesale"/>
    <s v="Mobile Money"/>
  </r>
  <r>
    <s v="P006"/>
    <x v="0"/>
    <s v="Electronics"/>
    <x v="0"/>
    <s v="December"/>
    <n v="1276452"/>
    <n v="42"/>
    <x v="76"/>
    <n v="226609.76"/>
    <x v="76"/>
    <x v="0"/>
    <s v="Wholesale"/>
    <s v="Card"/>
  </r>
  <r>
    <s v="P001"/>
    <x v="6"/>
    <s v="Electronics"/>
    <x v="0"/>
    <s v="June"/>
    <n v="1105787"/>
    <n v="1"/>
    <x v="77"/>
    <n v="231688.51"/>
    <x v="58"/>
    <x v="0"/>
    <s v="Wholesale"/>
    <s v="Card"/>
  </r>
  <r>
    <s v="P003"/>
    <x v="5"/>
    <s v="Furniture"/>
    <x v="0"/>
    <s v="February"/>
    <n v="1145368"/>
    <n v="31"/>
    <x v="78"/>
    <n v="252827.03"/>
    <x v="77"/>
    <x v="4"/>
    <s v="Retail"/>
    <s v="Card"/>
  </r>
  <r>
    <s v="P006"/>
    <x v="0"/>
    <s v="Electronics"/>
    <x v="1"/>
    <s v="November"/>
    <n v="710264"/>
    <n v="25"/>
    <x v="79"/>
    <n v="181550.78"/>
    <x v="78"/>
    <x v="1"/>
    <s v="Wholesale"/>
    <s v="Card"/>
  </r>
  <r>
    <s v="P007"/>
    <x v="1"/>
    <s v="Stationery"/>
    <x v="1"/>
    <s v="March"/>
    <n v="1288109"/>
    <n v="13"/>
    <x v="80"/>
    <n v="295861.32"/>
    <x v="79"/>
    <x v="3"/>
    <s v="Retail"/>
    <s v="Mobile Money"/>
  </r>
  <r>
    <s v="P004"/>
    <x v="3"/>
    <s v="Furniture"/>
    <x v="0"/>
    <s v="June"/>
    <n v="1236813"/>
    <n v="33"/>
    <x v="81"/>
    <n v="296170.52"/>
    <x v="80"/>
    <x v="4"/>
    <s v="Retail"/>
    <s v="Mobile Money"/>
  </r>
  <r>
    <s v="P005"/>
    <x v="7"/>
    <s v="Office"/>
    <x v="2"/>
    <s v="November"/>
    <n v="1019117"/>
    <n v="49"/>
    <x v="82"/>
    <n v="280491"/>
    <x v="81"/>
    <x v="0"/>
    <s v="Retail"/>
    <s v="Card"/>
  </r>
  <r>
    <s v="P007"/>
    <x v="1"/>
    <s v="Stationery"/>
    <x v="1"/>
    <s v="July"/>
    <n v="1080888"/>
    <n v="49"/>
    <x v="83"/>
    <n v="270243.15000000002"/>
    <x v="82"/>
    <x v="2"/>
    <s v="Wholesale"/>
    <s v="Mobile Money"/>
  </r>
  <r>
    <s v="P006"/>
    <x v="0"/>
    <s v="Electronics"/>
    <x v="0"/>
    <s v="March"/>
    <n v="1484022"/>
    <n v="11"/>
    <x v="84"/>
    <n v="341611.01"/>
    <x v="83"/>
    <x v="0"/>
    <s v="Retail"/>
    <s v="Card"/>
  </r>
  <r>
    <s v="P008"/>
    <x v="4"/>
    <s v="Stationery"/>
    <x v="2"/>
    <s v="November"/>
    <n v="172144"/>
    <n v="22"/>
    <x v="85"/>
    <n v="43816.22"/>
    <x v="84"/>
    <x v="2"/>
    <s v="Retail"/>
    <s v="Card"/>
  </r>
  <r>
    <s v="P007"/>
    <x v="1"/>
    <s v="Stationery"/>
    <x v="1"/>
    <s v="January"/>
    <n v="706493"/>
    <n v="15"/>
    <x v="86"/>
    <n v="197847.87"/>
    <x v="85"/>
    <x v="4"/>
    <s v="Retail"/>
    <s v="Cash"/>
  </r>
  <r>
    <s v="P004"/>
    <x v="3"/>
    <s v="Furniture"/>
    <x v="2"/>
    <s v="March"/>
    <n v="493529"/>
    <n v="21"/>
    <x v="87"/>
    <n v="144813.95000000001"/>
    <x v="86"/>
    <x v="0"/>
    <s v="Wholesale"/>
    <s v="Cash"/>
  </r>
  <r>
    <s v="P002"/>
    <x v="2"/>
    <s v="Electronics"/>
    <x v="1"/>
    <s v="February"/>
    <n v="501410"/>
    <n v="49"/>
    <x v="88"/>
    <n v="51631.839999999997"/>
    <x v="87"/>
    <x v="4"/>
    <s v="Retail"/>
    <s v="Cash"/>
  </r>
  <r>
    <s v="P008"/>
    <x v="4"/>
    <s v="Stationery"/>
    <x v="0"/>
    <s v="May"/>
    <n v="1185489"/>
    <n v="27"/>
    <x v="89"/>
    <n v="187837.01"/>
    <x v="88"/>
    <x v="2"/>
    <s v="Wholesale"/>
    <s v="Card"/>
  </r>
  <r>
    <s v="P003"/>
    <x v="5"/>
    <s v="Furniture"/>
    <x v="0"/>
    <s v="July"/>
    <n v="1376234"/>
    <n v="29"/>
    <x v="90"/>
    <n v="346384.95"/>
    <x v="89"/>
    <x v="2"/>
    <s v="Wholesale"/>
    <s v="Cash"/>
  </r>
  <r>
    <s v="P008"/>
    <x v="4"/>
    <s v="Stationery"/>
    <x v="1"/>
    <s v="May"/>
    <n v="415181"/>
    <n v="33"/>
    <x v="91"/>
    <n v="72509.039999999994"/>
    <x v="90"/>
    <x v="1"/>
    <s v="Wholesale"/>
    <s v="Mobile Money"/>
  </r>
  <r>
    <s v="P004"/>
    <x v="3"/>
    <s v="Furniture"/>
    <x v="0"/>
    <s v="September"/>
    <n v="123200"/>
    <n v="29"/>
    <x v="92"/>
    <n v="30963.03"/>
    <x v="91"/>
    <x v="3"/>
    <s v="Retail"/>
    <s v="Mobile Money"/>
  </r>
  <r>
    <s v="P002"/>
    <x v="2"/>
    <s v="Electronics"/>
    <x v="1"/>
    <s v="January"/>
    <n v="367561"/>
    <n v="2"/>
    <x v="93"/>
    <n v="41394.61"/>
    <x v="92"/>
    <x v="2"/>
    <s v="Wholesale"/>
    <s v="Mobile Money"/>
  </r>
  <r>
    <s v="P002"/>
    <x v="2"/>
    <s v="Electronics"/>
    <x v="1"/>
    <s v="May"/>
    <n v="1312305"/>
    <n v="34"/>
    <x v="94"/>
    <n v="328375.07"/>
    <x v="93"/>
    <x v="3"/>
    <s v="Wholesale"/>
    <s v="Card"/>
  </r>
  <r>
    <s v="P003"/>
    <x v="5"/>
    <s v="Furniture"/>
    <x v="0"/>
    <s v="January"/>
    <n v="411753"/>
    <n v="18"/>
    <x v="95"/>
    <n v="61003.21"/>
    <x v="94"/>
    <x v="4"/>
    <s v="Wholesale"/>
    <s v="Card"/>
  </r>
  <r>
    <s v="P003"/>
    <x v="5"/>
    <s v="Furniture"/>
    <x v="0"/>
    <s v="April"/>
    <n v="1115394"/>
    <n v="29"/>
    <x v="96"/>
    <n v="267256.92"/>
    <x v="95"/>
    <x v="3"/>
    <s v="Wholesale"/>
    <s v="Cash"/>
  </r>
  <r>
    <s v="P005"/>
    <x v="7"/>
    <s v="Office"/>
    <x v="0"/>
    <s v="March"/>
    <n v="1131975"/>
    <n v="25"/>
    <x v="97"/>
    <n v="148604.68"/>
    <x v="96"/>
    <x v="2"/>
    <s v="Retail"/>
    <s v="Mobile Money"/>
  </r>
  <r>
    <s v="P007"/>
    <x v="1"/>
    <s v="Stationery"/>
    <x v="0"/>
    <s v="May"/>
    <n v="971347"/>
    <n v="28"/>
    <x v="98"/>
    <n v="273879.94"/>
    <x v="97"/>
    <x v="3"/>
    <s v="Wholesale"/>
    <s v="Cash"/>
  </r>
  <r>
    <s v="P001"/>
    <x v="6"/>
    <s v="Electronics"/>
    <x v="2"/>
    <s v="June"/>
    <n v="50635"/>
    <n v="39"/>
    <x v="99"/>
    <n v="9693.0400000000009"/>
    <x v="98"/>
    <x v="4"/>
    <s v="Wholesale"/>
    <s v="Cash"/>
  </r>
  <r>
    <s v="P005"/>
    <x v="7"/>
    <s v="Office"/>
    <x v="2"/>
    <s v="March"/>
    <n v="473743"/>
    <n v="41"/>
    <x v="100"/>
    <n v="85991.77"/>
    <x v="99"/>
    <x v="2"/>
    <s v="Retail"/>
    <s v="Card"/>
  </r>
  <r>
    <s v="P003"/>
    <x v="5"/>
    <s v="Furniture"/>
    <x v="0"/>
    <s v="August"/>
    <n v="724913"/>
    <n v="38"/>
    <x v="101"/>
    <n v="161297.24"/>
    <x v="100"/>
    <x v="2"/>
    <s v="Wholesale"/>
    <s v="Mobile Money"/>
  </r>
  <r>
    <s v="P005"/>
    <x v="7"/>
    <s v="Office"/>
    <x v="1"/>
    <s v="December"/>
    <n v="983575"/>
    <n v="32"/>
    <x v="102"/>
    <n v="182681.75"/>
    <x v="101"/>
    <x v="2"/>
    <s v="Wholesale"/>
    <s v="Mobile Money"/>
  </r>
  <r>
    <s v="P006"/>
    <x v="0"/>
    <s v="Electronics"/>
    <x v="1"/>
    <s v="November"/>
    <n v="1468382"/>
    <n v="43"/>
    <x v="103"/>
    <n v="175183.18"/>
    <x v="102"/>
    <x v="2"/>
    <s v="Retail"/>
    <s v="Card"/>
  </r>
  <r>
    <s v="P005"/>
    <x v="7"/>
    <s v="Office"/>
    <x v="2"/>
    <s v="September"/>
    <n v="984445"/>
    <n v="8"/>
    <x v="104"/>
    <n v="103398.09"/>
    <x v="13"/>
    <x v="2"/>
    <s v="Wholesale"/>
    <s v="Cash"/>
  </r>
  <r>
    <s v="P003"/>
    <x v="5"/>
    <s v="Furniture"/>
    <x v="2"/>
    <s v="January"/>
    <n v="82579"/>
    <n v="50"/>
    <x v="105"/>
    <n v="20397.900000000001"/>
    <x v="103"/>
    <x v="2"/>
    <s v="Wholesale"/>
    <s v="Card"/>
  </r>
  <r>
    <s v="P002"/>
    <x v="2"/>
    <s v="Electronics"/>
    <x v="0"/>
    <s v="May"/>
    <n v="554820"/>
    <n v="43"/>
    <x v="106"/>
    <n v="101906.99"/>
    <x v="104"/>
    <x v="3"/>
    <s v="Retail"/>
    <s v="Cash"/>
  </r>
  <r>
    <s v="P002"/>
    <x v="2"/>
    <s v="Electronics"/>
    <x v="0"/>
    <s v="August"/>
    <n v="1000316"/>
    <n v="40"/>
    <x v="107"/>
    <n v="292663.81"/>
    <x v="105"/>
    <x v="0"/>
    <s v="Wholesale"/>
    <s v="Cash"/>
  </r>
  <r>
    <s v="P004"/>
    <x v="3"/>
    <s v="Furniture"/>
    <x v="1"/>
    <s v="March"/>
    <n v="589185"/>
    <n v="14"/>
    <x v="108"/>
    <n v="145875.03"/>
    <x v="106"/>
    <x v="0"/>
    <s v="Wholesale"/>
    <s v="Cash"/>
  </r>
  <r>
    <s v="P005"/>
    <x v="7"/>
    <s v="Office"/>
    <x v="2"/>
    <s v="March"/>
    <n v="710700"/>
    <n v="13"/>
    <x v="109"/>
    <n v="73536.429999999993"/>
    <x v="107"/>
    <x v="4"/>
    <s v="Retail"/>
    <s v="Mobile Money"/>
  </r>
  <r>
    <s v="P001"/>
    <x v="6"/>
    <s v="Electronics"/>
    <x v="2"/>
    <s v="July"/>
    <n v="1460608"/>
    <n v="35"/>
    <x v="110"/>
    <n v="213582.95"/>
    <x v="108"/>
    <x v="1"/>
    <s v="Retail"/>
    <s v="Mobile Money"/>
  </r>
  <r>
    <s v="P001"/>
    <x v="6"/>
    <s v="Electronics"/>
    <x v="1"/>
    <s v="March"/>
    <n v="104211"/>
    <n v="5"/>
    <x v="111"/>
    <n v="10970.16"/>
    <x v="109"/>
    <x v="1"/>
    <s v="Wholesale"/>
    <s v="Mobile Money"/>
  </r>
  <r>
    <s v="P007"/>
    <x v="1"/>
    <s v="Stationery"/>
    <x v="2"/>
    <s v="October"/>
    <n v="141643"/>
    <n v="35"/>
    <x v="112"/>
    <n v="16780.900000000001"/>
    <x v="110"/>
    <x v="2"/>
    <s v="Retail"/>
    <s v="Card"/>
  </r>
  <r>
    <s v="P001"/>
    <x v="6"/>
    <s v="Electronics"/>
    <x v="2"/>
    <s v="April"/>
    <n v="524166"/>
    <n v="39"/>
    <x v="113"/>
    <n v="147209.79999999999"/>
    <x v="111"/>
    <x v="2"/>
    <s v="Wholesale"/>
    <s v="Cash"/>
  </r>
  <r>
    <s v="P001"/>
    <x v="6"/>
    <s v="Electronics"/>
    <x v="2"/>
    <s v="December"/>
    <n v="1119286"/>
    <n v="27"/>
    <x v="114"/>
    <n v="128287.99"/>
    <x v="112"/>
    <x v="1"/>
    <s v="Retail"/>
    <s v="Cash"/>
  </r>
  <r>
    <s v="P003"/>
    <x v="5"/>
    <s v="Furniture"/>
    <x v="1"/>
    <s v="October"/>
    <n v="1362696"/>
    <n v="45"/>
    <x v="115"/>
    <n v="230990.47"/>
    <x v="113"/>
    <x v="1"/>
    <s v="Wholesale"/>
    <s v="Cash"/>
  </r>
  <r>
    <s v="P007"/>
    <x v="1"/>
    <s v="Stationery"/>
    <x v="2"/>
    <s v="July"/>
    <n v="840731"/>
    <n v="31"/>
    <x v="116"/>
    <n v="90433.89"/>
    <x v="114"/>
    <x v="1"/>
    <s v="Wholesale"/>
    <s v="Card"/>
  </r>
  <r>
    <s v="P002"/>
    <x v="2"/>
    <s v="Electronics"/>
    <x v="2"/>
    <s v="October"/>
    <n v="149641"/>
    <n v="19"/>
    <x v="117"/>
    <n v="44824.41"/>
    <x v="115"/>
    <x v="1"/>
    <s v="Retail"/>
    <s v="Mobile Money"/>
  </r>
  <r>
    <s v="P005"/>
    <x v="7"/>
    <s v="Office"/>
    <x v="2"/>
    <s v="November"/>
    <n v="59071"/>
    <n v="22"/>
    <x v="118"/>
    <n v="9397.7800000000007"/>
    <x v="116"/>
    <x v="2"/>
    <s v="Wholesale"/>
    <s v="Mobile Money"/>
  </r>
  <r>
    <s v="P001"/>
    <x v="6"/>
    <s v="Electronics"/>
    <x v="1"/>
    <s v="August"/>
    <n v="672910"/>
    <n v="21"/>
    <x v="119"/>
    <n v="96252.03"/>
    <x v="117"/>
    <x v="1"/>
    <s v="Retail"/>
    <s v="Mobile Mone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63"/>
    <n v="57"/>
    <n v="44"/>
    <n v="48"/>
    <n v="2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9"/>
    <x v="0"/>
    <n v="23"/>
    <n v="25"/>
    <n v="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88"/>
    <x v="0"/>
  </r>
  <r>
    <x v="1"/>
    <n v="75"/>
    <x v="1"/>
  </r>
  <r>
    <x v="2"/>
    <n v="82"/>
    <x v="2"/>
  </r>
  <r>
    <x v="1"/>
    <n v="91"/>
    <x v="3"/>
  </r>
  <r>
    <x v="0"/>
    <n v="85"/>
    <x v="4"/>
  </r>
  <r>
    <x v="3"/>
    <n v="79"/>
    <x v="5"/>
  </r>
  <r>
    <x v="4"/>
    <n v="90"/>
    <x v="6"/>
  </r>
  <r>
    <x v="1"/>
    <n v="73"/>
    <x v="7"/>
  </r>
  <r>
    <x v="0"/>
    <n v="87"/>
    <x v="8"/>
  </r>
  <r>
    <x v="2"/>
    <n v="80"/>
    <x v="9"/>
  </r>
  <r>
    <x v="0"/>
    <n v="92"/>
    <x v="10"/>
  </r>
  <r>
    <x v="1"/>
    <n v="77"/>
    <x v="11"/>
  </r>
  <r>
    <x v="2"/>
    <n v="84"/>
    <x v="12"/>
  </r>
  <r>
    <x v="1"/>
    <n v="89"/>
    <x v="13"/>
  </r>
  <r>
    <x v="2"/>
    <n v="94"/>
    <x v="14"/>
  </r>
  <r>
    <x v="0"/>
    <n v="78"/>
    <x v="15"/>
  </r>
  <r>
    <x v="0"/>
    <n v="81"/>
    <x v="16"/>
  </r>
  <r>
    <x v="1"/>
    <n v="76"/>
    <x v="17"/>
  </r>
  <r>
    <x v="3"/>
    <n v="86"/>
    <x v="18"/>
  </r>
  <r>
    <x v="3"/>
    <n v="88"/>
    <x v="0"/>
  </r>
  <r>
    <x v="4"/>
    <n v="88"/>
    <x v="0"/>
  </r>
  <r>
    <x v="0"/>
    <n v="75"/>
    <x v="1"/>
  </r>
  <r>
    <x v="2"/>
    <n v="82"/>
    <x v="2"/>
  </r>
  <r>
    <x v="0"/>
    <n v="91"/>
    <x v="3"/>
  </r>
  <r>
    <x v="0"/>
    <n v="85"/>
    <x v="4"/>
  </r>
  <r>
    <x v="4"/>
    <n v="79"/>
    <x v="5"/>
  </r>
  <r>
    <x v="3"/>
    <n v="90"/>
    <x v="6"/>
  </r>
  <r>
    <x v="2"/>
    <n v="73"/>
    <x v="7"/>
  </r>
  <r>
    <x v="2"/>
    <n v="87"/>
    <x v="8"/>
  </r>
  <r>
    <x v="0"/>
    <n v="80"/>
    <x v="9"/>
  </r>
  <r>
    <x v="2"/>
    <n v="92"/>
    <x v="10"/>
  </r>
  <r>
    <x v="1"/>
    <n v="77"/>
    <x v="11"/>
  </r>
  <r>
    <x v="0"/>
    <n v="84"/>
    <x v="12"/>
  </r>
  <r>
    <x v="1"/>
    <n v="89"/>
    <x v="13"/>
  </r>
  <r>
    <x v="3"/>
    <n v="94"/>
    <x v="14"/>
  </r>
  <r>
    <x v="2"/>
    <n v="78"/>
    <x v="15"/>
  </r>
  <r>
    <x v="0"/>
    <n v="81"/>
    <x v="16"/>
  </r>
  <r>
    <x v="2"/>
    <n v="76"/>
    <x v="17"/>
  </r>
  <r>
    <x v="2"/>
    <n v="86"/>
    <x v="18"/>
  </r>
  <r>
    <x v="1"/>
    <n v="88"/>
    <x v="0"/>
  </r>
  <r>
    <x v="4"/>
    <n v="88"/>
    <x v="0"/>
  </r>
  <r>
    <x v="0"/>
    <n v="75"/>
    <x v="1"/>
  </r>
  <r>
    <x v="1"/>
    <n v="82"/>
    <x v="2"/>
  </r>
  <r>
    <x v="0"/>
    <n v="91"/>
    <x v="3"/>
  </r>
  <r>
    <x v="2"/>
    <n v="85"/>
    <x v="4"/>
  </r>
  <r>
    <x v="1"/>
    <n v="79"/>
    <x v="5"/>
  </r>
  <r>
    <x v="2"/>
    <n v="90"/>
    <x v="6"/>
  </r>
  <r>
    <x v="1"/>
    <n v="73"/>
    <x v="7"/>
  </r>
  <r>
    <x v="2"/>
    <n v="87"/>
    <x v="8"/>
  </r>
  <r>
    <x v="4"/>
    <n v="80"/>
    <x v="9"/>
  </r>
  <r>
    <x v="2"/>
    <n v="92"/>
    <x v="10"/>
  </r>
  <r>
    <x v="1"/>
    <n v="77"/>
    <x v="11"/>
  </r>
  <r>
    <x v="3"/>
    <n v="84"/>
    <x v="12"/>
  </r>
  <r>
    <x v="0"/>
    <n v="89"/>
    <x v="13"/>
  </r>
  <r>
    <x v="2"/>
    <n v="94"/>
    <x v="14"/>
  </r>
  <r>
    <x v="1"/>
    <n v="78"/>
    <x v="15"/>
  </r>
  <r>
    <x v="4"/>
    <n v="81"/>
    <x v="16"/>
  </r>
  <r>
    <x v="3"/>
    <n v="76"/>
    <x v="17"/>
  </r>
  <r>
    <x v="2"/>
    <n v="86"/>
    <x v="18"/>
  </r>
  <r>
    <x v="0"/>
    <n v="88"/>
    <x v="0"/>
  </r>
  <r>
    <x v="2"/>
    <n v="88"/>
    <x v="0"/>
  </r>
  <r>
    <x v="4"/>
    <n v="75"/>
    <x v="1"/>
  </r>
  <r>
    <x v="1"/>
    <n v="82"/>
    <x v="2"/>
  </r>
  <r>
    <x v="0"/>
    <n v="91"/>
    <x v="3"/>
  </r>
  <r>
    <x v="0"/>
    <n v="85"/>
    <x v="4"/>
  </r>
  <r>
    <x v="2"/>
    <n v="79"/>
    <x v="5"/>
  </r>
  <r>
    <x v="1"/>
    <n v="90"/>
    <x v="6"/>
  </r>
  <r>
    <x v="4"/>
    <n v="73"/>
    <x v="7"/>
  </r>
  <r>
    <x v="4"/>
    <n v="87"/>
    <x v="8"/>
  </r>
  <r>
    <x v="4"/>
    <n v="80"/>
    <x v="9"/>
  </r>
  <r>
    <x v="1"/>
    <n v="92"/>
    <x v="10"/>
  </r>
  <r>
    <x v="3"/>
    <n v="77"/>
    <x v="11"/>
  </r>
  <r>
    <x v="4"/>
    <n v="84"/>
    <x v="12"/>
  </r>
  <r>
    <x v="0"/>
    <n v="89"/>
    <x v="13"/>
  </r>
  <r>
    <x v="4"/>
    <n v="94"/>
    <x v="14"/>
  </r>
  <r>
    <x v="0"/>
    <n v="78"/>
    <x v="15"/>
  </r>
  <r>
    <x v="1"/>
    <n v="81"/>
    <x v="16"/>
  </r>
  <r>
    <x v="1"/>
    <n v="76"/>
    <x v="17"/>
  </r>
  <r>
    <x v="2"/>
    <n v="86"/>
    <x v="18"/>
  </r>
  <r>
    <x v="2"/>
    <n v="88"/>
    <x v="0"/>
  </r>
  <r>
    <x v="3"/>
    <n v="88"/>
    <x v="0"/>
  </r>
  <r>
    <x v="2"/>
    <n v="75"/>
    <x v="1"/>
  </r>
  <r>
    <x v="4"/>
    <n v="82"/>
    <x v="2"/>
  </r>
  <r>
    <x v="0"/>
    <n v="91"/>
    <x v="3"/>
  </r>
  <r>
    <x v="1"/>
    <n v="85"/>
    <x v="4"/>
  </r>
  <r>
    <x v="0"/>
    <n v="79"/>
    <x v="5"/>
  </r>
  <r>
    <x v="0"/>
    <n v="90"/>
    <x v="6"/>
  </r>
  <r>
    <x v="0"/>
    <n v="73"/>
    <x v="7"/>
  </r>
  <r>
    <x v="0"/>
    <n v="87"/>
    <x v="8"/>
  </r>
  <r>
    <x v="3"/>
    <n v="80"/>
    <x v="9"/>
  </r>
  <r>
    <x v="2"/>
    <n v="92"/>
    <x v="10"/>
  </r>
  <r>
    <x v="4"/>
    <n v="77"/>
    <x v="11"/>
  </r>
  <r>
    <x v="0"/>
    <n v="84"/>
    <x v="12"/>
  </r>
  <r>
    <x v="2"/>
    <n v="89"/>
    <x v="13"/>
  </r>
  <r>
    <x v="3"/>
    <n v="94"/>
    <x v="14"/>
  </r>
  <r>
    <x v="3"/>
    <n v="78"/>
    <x v="15"/>
  </r>
  <r>
    <x v="1"/>
    <n v="81"/>
    <x v="16"/>
  </r>
  <r>
    <x v="4"/>
    <n v="76"/>
    <x v="17"/>
  </r>
  <r>
    <x v="4"/>
    <n v="86"/>
    <x v="18"/>
  </r>
  <r>
    <x v="4"/>
    <n v="88"/>
    <x v="0"/>
  </r>
  <r>
    <x v="1"/>
    <n v="88"/>
    <x v="0"/>
  </r>
  <r>
    <x v="1"/>
    <n v="75"/>
    <x v="1"/>
  </r>
  <r>
    <x v="1"/>
    <n v="82"/>
    <x v="2"/>
  </r>
  <r>
    <x v="0"/>
    <n v="91"/>
    <x v="3"/>
  </r>
  <r>
    <x v="2"/>
    <n v="85"/>
    <x v="4"/>
  </r>
  <r>
    <x v="2"/>
    <n v="79"/>
    <x v="5"/>
  </r>
  <r>
    <x v="1"/>
    <n v="90"/>
    <x v="6"/>
  </r>
  <r>
    <x v="1"/>
    <n v="73"/>
    <x v="7"/>
  </r>
  <r>
    <x v="4"/>
    <n v="87"/>
    <x v="8"/>
  </r>
  <r>
    <x v="0"/>
    <n v="80"/>
    <x v="9"/>
  </r>
  <r>
    <x v="0"/>
    <n v="92"/>
    <x v="10"/>
  </r>
  <r>
    <x v="2"/>
    <n v="77"/>
    <x v="11"/>
  </r>
  <r>
    <x v="3"/>
    <n v="84"/>
    <x v="12"/>
  </r>
  <r>
    <x v="4"/>
    <n v="89"/>
    <x v="13"/>
  </r>
  <r>
    <x v="4"/>
    <n v="94"/>
    <x v="14"/>
  </r>
  <r>
    <x v="1"/>
    <n v="78"/>
    <x v="15"/>
  </r>
  <r>
    <x v="1"/>
    <n v="81"/>
    <x v="16"/>
  </r>
  <r>
    <x v="1"/>
    <n v="76"/>
    <x v="17"/>
  </r>
  <r>
    <x v="0"/>
    <n v="86"/>
    <x v="18"/>
  </r>
  <r>
    <x v="3"/>
    <n v="88"/>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x v="0"/>
    <x v="0"/>
    <x v="0"/>
  </r>
  <r>
    <x v="1"/>
    <x v="1"/>
    <x v="0"/>
    <x v="1"/>
    <x v="1"/>
  </r>
  <r>
    <x v="2"/>
    <x v="2"/>
    <x v="1"/>
    <x v="2"/>
    <x v="2"/>
  </r>
  <r>
    <x v="3"/>
    <x v="3"/>
    <x v="2"/>
    <x v="3"/>
    <x v="3"/>
  </r>
  <r>
    <x v="4"/>
    <x v="4"/>
    <x v="3"/>
    <x v="0"/>
    <x v="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s v="Male"/>
    <s v="36-45"/>
    <x v="0"/>
    <x v="0"/>
    <x v="0"/>
    <m/>
    <x v="0"/>
    <x v="0"/>
    <n v="88"/>
    <n v="0.87562189054726369"/>
  </r>
  <r>
    <x v="1"/>
    <x v="1"/>
    <s v="Male"/>
    <s v="36-45"/>
    <x v="1"/>
    <x v="1"/>
    <x v="1"/>
    <m/>
    <x v="1"/>
    <x v="1"/>
    <n v="75"/>
    <n v="0.74626865671641796"/>
  </r>
  <r>
    <x v="2"/>
    <x v="2"/>
    <s v="Male"/>
    <s v="36-45"/>
    <x v="2"/>
    <x v="2"/>
    <x v="2"/>
    <m/>
    <x v="2"/>
    <x v="2"/>
    <n v="82"/>
    <n v="0.8159203980099502"/>
  </r>
  <r>
    <x v="3"/>
    <x v="3"/>
    <s v="Male"/>
    <s v="18-25"/>
    <x v="3"/>
    <x v="2"/>
    <x v="1"/>
    <m/>
    <x v="1"/>
    <x v="3"/>
    <n v="91"/>
    <n v="0.90547263681592038"/>
  </r>
  <r>
    <x v="4"/>
    <x v="4"/>
    <s v="Male"/>
    <s v="26-35"/>
    <x v="3"/>
    <x v="0"/>
    <x v="0"/>
    <m/>
    <x v="3"/>
    <x v="4"/>
    <n v="85"/>
    <n v="0.845771144278607"/>
  </r>
  <r>
    <x v="5"/>
    <x v="5"/>
    <s v="Female"/>
    <s v="46-60"/>
    <x v="1"/>
    <x v="2"/>
    <x v="3"/>
    <m/>
    <x v="0"/>
    <x v="2"/>
    <n v="79"/>
    <n v="0.78606965174129351"/>
  </r>
  <r>
    <x v="6"/>
    <x v="6"/>
    <s v="Female"/>
    <s v="36-45"/>
    <x v="4"/>
    <x v="0"/>
    <x v="4"/>
    <m/>
    <x v="0"/>
    <x v="3"/>
    <n v="90"/>
    <n v="0.89552238805970152"/>
  </r>
  <r>
    <x v="7"/>
    <x v="7"/>
    <s v="Female"/>
    <s v="36-45"/>
    <x v="0"/>
    <x v="0"/>
    <x v="1"/>
    <m/>
    <x v="3"/>
    <x v="1"/>
    <n v="73"/>
    <n v="0.72636815920398012"/>
  </r>
  <r>
    <x v="8"/>
    <x v="8"/>
    <s v="Male"/>
    <s v="46-60"/>
    <x v="3"/>
    <x v="2"/>
    <x v="0"/>
    <m/>
    <x v="2"/>
    <x v="2"/>
    <n v="87"/>
    <n v="0.86567164179104472"/>
  </r>
  <r>
    <x v="9"/>
    <x v="9"/>
    <s v="Male"/>
    <s v="26-35"/>
    <x v="4"/>
    <x v="2"/>
    <x v="2"/>
    <m/>
    <x v="2"/>
    <x v="3"/>
    <n v="80"/>
    <n v="0.79601990049751248"/>
  </r>
  <r>
    <x v="10"/>
    <x v="10"/>
    <s v="Female"/>
    <s v="36-45"/>
    <x v="1"/>
    <x v="0"/>
    <x v="0"/>
    <m/>
    <x v="1"/>
    <x v="2"/>
    <n v="92"/>
    <n v="0.91542288557213936"/>
  </r>
  <r>
    <x v="11"/>
    <x v="11"/>
    <s v="Female"/>
    <s v="36-45"/>
    <x v="3"/>
    <x v="0"/>
    <x v="1"/>
    <m/>
    <x v="3"/>
    <x v="1"/>
    <n v="77"/>
    <n v="0.76616915422885568"/>
  </r>
  <r>
    <x v="12"/>
    <x v="12"/>
    <s v="Male"/>
    <s v="46-60"/>
    <x v="0"/>
    <x v="2"/>
    <x v="2"/>
    <m/>
    <x v="3"/>
    <x v="4"/>
    <n v="84"/>
    <n v="0.83582089552238803"/>
  </r>
  <r>
    <x v="13"/>
    <x v="13"/>
    <s v="Female"/>
    <s v="36-45"/>
    <x v="1"/>
    <x v="3"/>
    <x v="1"/>
    <m/>
    <x v="1"/>
    <x v="3"/>
    <n v="89"/>
    <n v="0.88557213930348255"/>
  </r>
  <r>
    <x v="14"/>
    <x v="14"/>
    <s v="Male"/>
    <s v="26-35"/>
    <x v="2"/>
    <x v="0"/>
    <x v="2"/>
    <m/>
    <x v="3"/>
    <x v="4"/>
    <n v="94"/>
    <n v="0.93532338308457708"/>
  </r>
  <r>
    <x v="15"/>
    <x v="15"/>
    <s v="Female"/>
    <s v="36-45"/>
    <x v="0"/>
    <x v="3"/>
    <x v="0"/>
    <m/>
    <x v="0"/>
    <x v="3"/>
    <n v="78"/>
    <n v="0.77611940298507465"/>
  </r>
  <r>
    <x v="16"/>
    <x v="16"/>
    <s v="Female"/>
    <s v="26-35"/>
    <x v="3"/>
    <x v="0"/>
    <x v="0"/>
    <m/>
    <x v="0"/>
    <x v="0"/>
    <n v="81"/>
    <n v="0.80597014925373134"/>
  </r>
  <r>
    <x v="17"/>
    <x v="17"/>
    <s v="Female"/>
    <s v="36-45"/>
    <x v="2"/>
    <x v="2"/>
    <x v="1"/>
    <m/>
    <x v="0"/>
    <x v="0"/>
    <n v="76"/>
    <n v="0.75621890547263682"/>
  </r>
  <r>
    <x v="18"/>
    <x v="18"/>
    <s v="Male"/>
    <s v="36-45"/>
    <x v="4"/>
    <x v="1"/>
    <x v="3"/>
    <m/>
    <x v="3"/>
    <x v="1"/>
    <n v="86"/>
    <n v="0.85572139303482586"/>
  </r>
  <r>
    <x v="19"/>
    <x v="19"/>
    <s v="Female"/>
    <s v="26-35"/>
    <x v="1"/>
    <x v="3"/>
    <x v="3"/>
    <m/>
    <x v="3"/>
    <x v="3"/>
    <n v="88"/>
    <n v="0.87562189054726369"/>
  </r>
  <r>
    <x v="20"/>
    <x v="20"/>
    <s v="Female"/>
    <s v="26-35"/>
    <x v="4"/>
    <x v="1"/>
    <x v="4"/>
    <m/>
    <x v="3"/>
    <x v="0"/>
    <n v="88"/>
    <n v="0.87562189054726369"/>
  </r>
  <r>
    <x v="21"/>
    <x v="21"/>
    <s v="Female"/>
    <s v="18-25"/>
    <x v="2"/>
    <x v="0"/>
    <x v="0"/>
    <m/>
    <x v="2"/>
    <x v="4"/>
    <n v="75"/>
    <n v="0.74626865671641796"/>
  </r>
  <r>
    <x v="22"/>
    <x v="22"/>
    <s v="Female"/>
    <s v="36-45"/>
    <x v="4"/>
    <x v="1"/>
    <x v="2"/>
    <m/>
    <x v="3"/>
    <x v="4"/>
    <n v="82"/>
    <n v="0.8159203980099502"/>
  </r>
  <r>
    <x v="23"/>
    <x v="23"/>
    <s v="Female"/>
    <s v="18-25"/>
    <x v="2"/>
    <x v="0"/>
    <x v="0"/>
    <m/>
    <x v="2"/>
    <x v="3"/>
    <n v="91"/>
    <n v="0.90547263681592038"/>
  </r>
  <r>
    <x v="24"/>
    <x v="24"/>
    <s v="Male"/>
    <s v="26-35"/>
    <x v="4"/>
    <x v="1"/>
    <x v="0"/>
    <m/>
    <x v="0"/>
    <x v="2"/>
    <n v="85"/>
    <n v="0.845771144278607"/>
  </r>
  <r>
    <x v="25"/>
    <x v="25"/>
    <s v="Female"/>
    <s v="36-45"/>
    <x v="1"/>
    <x v="1"/>
    <x v="4"/>
    <m/>
    <x v="2"/>
    <x v="2"/>
    <n v="79"/>
    <n v="0.78606965174129351"/>
  </r>
  <r>
    <x v="26"/>
    <x v="26"/>
    <s v="Male"/>
    <s v="18-25"/>
    <x v="1"/>
    <x v="1"/>
    <x v="3"/>
    <m/>
    <x v="0"/>
    <x v="3"/>
    <n v="90"/>
    <n v="0.89552238805970152"/>
  </r>
  <r>
    <x v="27"/>
    <x v="27"/>
    <s v="Female"/>
    <s v="18-25"/>
    <x v="1"/>
    <x v="2"/>
    <x v="2"/>
    <m/>
    <x v="1"/>
    <x v="3"/>
    <n v="73"/>
    <n v="0.72636815920398012"/>
  </r>
  <r>
    <x v="28"/>
    <x v="28"/>
    <s v="Female"/>
    <s v="26-35"/>
    <x v="4"/>
    <x v="1"/>
    <x v="2"/>
    <m/>
    <x v="3"/>
    <x v="3"/>
    <n v="87"/>
    <n v="0.86567164179104472"/>
  </r>
  <r>
    <x v="29"/>
    <x v="29"/>
    <s v="Female"/>
    <s v="36-45"/>
    <x v="1"/>
    <x v="3"/>
    <x v="0"/>
    <m/>
    <x v="1"/>
    <x v="4"/>
    <n v="80"/>
    <n v="0.79601990049751248"/>
  </r>
  <r>
    <x v="30"/>
    <x v="30"/>
    <s v="Male"/>
    <s v="46-60"/>
    <x v="1"/>
    <x v="0"/>
    <x v="2"/>
    <m/>
    <x v="3"/>
    <x v="2"/>
    <n v="92"/>
    <n v="0.91542288557213936"/>
  </r>
  <r>
    <x v="31"/>
    <x v="31"/>
    <s v="Male"/>
    <s v="18-25"/>
    <x v="3"/>
    <x v="1"/>
    <x v="1"/>
    <m/>
    <x v="2"/>
    <x v="4"/>
    <n v="77"/>
    <n v="0.76616915422885568"/>
  </r>
  <r>
    <x v="32"/>
    <x v="32"/>
    <s v="Female"/>
    <s v="18-25"/>
    <x v="3"/>
    <x v="0"/>
    <x v="0"/>
    <m/>
    <x v="3"/>
    <x v="4"/>
    <n v="84"/>
    <n v="0.83582089552238803"/>
  </r>
  <r>
    <x v="33"/>
    <x v="33"/>
    <s v="Female"/>
    <s v="36-45"/>
    <x v="0"/>
    <x v="2"/>
    <x v="1"/>
    <m/>
    <x v="1"/>
    <x v="1"/>
    <n v="89"/>
    <n v="0.88557213930348255"/>
  </r>
  <r>
    <x v="34"/>
    <x v="34"/>
    <s v="Female"/>
    <s v="46-60"/>
    <x v="0"/>
    <x v="1"/>
    <x v="3"/>
    <m/>
    <x v="3"/>
    <x v="3"/>
    <n v="94"/>
    <n v="0.93532338308457708"/>
  </r>
  <r>
    <x v="35"/>
    <x v="35"/>
    <s v="Male"/>
    <s v="36-45"/>
    <x v="3"/>
    <x v="3"/>
    <x v="2"/>
    <m/>
    <x v="0"/>
    <x v="3"/>
    <n v="78"/>
    <n v="0.77611940298507465"/>
  </r>
  <r>
    <x v="36"/>
    <x v="36"/>
    <s v="Male"/>
    <s v="46-60"/>
    <x v="2"/>
    <x v="0"/>
    <x v="0"/>
    <m/>
    <x v="3"/>
    <x v="1"/>
    <n v="81"/>
    <n v="0.80597014925373134"/>
  </r>
  <r>
    <x v="37"/>
    <x v="37"/>
    <s v="Male"/>
    <s v="36-45"/>
    <x v="2"/>
    <x v="3"/>
    <x v="2"/>
    <m/>
    <x v="1"/>
    <x v="1"/>
    <n v="76"/>
    <n v="0.75621890547263682"/>
  </r>
  <r>
    <x v="38"/>
    <x v="38"/>
    <s v="Male"/>
    <s v="36-45"/>
    <x v="1"/>
    <x v="1"/>
    <x v="2"/>
    <m/>
    <x v="0"/>
    <x v="1"/>
    <n v="86"/>
    <n v="0.85572139303482586"/>
  </r>
  <r>
    <x v="39"/>
    <x v="39"/>
    <s v="Female"/>
    <s v="26-35"/>
    <x v="1"/>
    <x v="3"/>
    <x v="1"/>
    <m/>
    <x v="3"/>
    <x v="3"/>
    <n v="88"/>
    <n v="0.87562189054726369"/>
  </r>
  <r>
    <x v="40"/>
    <x v="40"/>
    <s v="Female"/>
    <s v="18-25"/>
    <x v="0"/>
    <x v="0"/>
    <x v="4"/>
    <m/>
    <x v="0"/>
    <x v="4"/>
    <n v="88"/>
    <n v="0.87562189054726369"/>
  </r>
  <r>
    <x v="41"/>
    <x v="41"/>
    <s v="Male"/>
    <s v="26-35"/>
    <x v="2"/>
    <x v="1"/>
    <x v="0"/>
    <m/>
    <x v="2"/>
    <x v="3"/>
    <n v="75"/>
    <n v="0.74626865671641796"/>
  </r>
  <r>
    <x v="42"/>
    <x v="42"/>
    <s v="Female"/>
    <s v="26-35"/>
    <x v="0"/>
    <x v="0"/>
    <x v="1"/>
    <m/>
    <x v="1"/>
    <x v="0"/>
    <n v="82"/>
    <n v="0.8159203980099502"/>
  </r>
  <r>
    <x v="43"/>
    <x v="43"/>
    <s v="Female"/>
    <s v="18-25"/>
    <x v="4"/>
    <x v="2"/>
    <x v="0"/>
    <m/>
    <x v="0"/>
    <x v="4"/>
    <n v="91"/>
    <n v="0.90547263681592038"/>
  </r>
  <r>
    <x v="44"/>
    <x v="44"/>
    <s v="Female"/>
    <s v="46-60"/>
    <x v="3"/>
    <x v="0"/>
    <x v="2"/>
    <m/>
    <x v="0"/>
    <x v="2"/>
    <n v="85"/>
    <n v="0.845771144278607"/>
  </r>
  <r>
    <x v="45"/>
    <x v="45"/>
    <s v="Female"/>
    <s v="36-45"/>
    <x v="1"/>
    <x v="1"/>
    <x v="1"/>
    <m/>
    <x v="3"/>
    <x v="1"/>
    <n v="79"/>
    <n v="0.78606965174129351"/>
  </r>
  <r>
    <x v="46"/>
    <x v="46"/>
    <s v="Male"/>
    <s v="46-60"/>
    <x v="1"/>
    <x v="3"/>
    <x v="2"/>
    <m/>
    <x v="1"/>
    <x v="1"/>
    <n v="90"/>
    <n v="0.89552238805970152"/>
  </r>
  <r>
    <x v="47"/>
    <x v="47"/>
    <s v="Female"/>
    <s v="26-35"/>
    <x v="3"/>
    <x v="1"/>
    <x v="1"/>
    <m/>
    <x v="1"/>
    <x v="1"/>
    <n v="73"/>
    <n v="0.72636815920398012"/>
  </r>
  <r>
    <x v="48"/>
    <x v="48"/>
    <s v="Female"/>
    <s v="36-45"/>
    <x v="2"/>
    <x v="0"/>
    <x v="2"/>
    <m/>
    <x v="3"/>
    <x v="3"/>
    <n v="87"/>
    <n v="0.86567164179104472"/>
  </r>
  <r>
    <x v="49"/>
    <x v="49"/>
    <s v="Female"/>
    <s v="26-35"/>
    <x v="0"/>
    <x v="0"/>
    <x v="4"/>
    <m/>
    <x v="1"/>
    <x v="1"/>
    <n v="80"/>
    <n v="0.79601990049751248"/>
  </r>
  <r>
    <x v="50"/>
    <x v="50"/>
    <s v="Male"/>
    <s v="46-60"/>
    <x v="3"/>
    <x v="1"/>
    <x v="2"/>
    <m/>
    <x v="2"/>
    <x v="3"/>
    <n v="92"/>
    <n v="0.91542288557213936"/>
  </r>
  <r>
    <x v="51"/>
    <x v="51"/>
    <s v="Female"/>
    <s v="26-35"/>
    <x v="3"/>
    <x v="0"/>
    <x v="1"/>
    <m/>
    <x v="2"/>
    <x v="2"/>
    <n v="77"/>
    <n v="0.76616915422885568"/>
  </r>
  <r>
    <x v="52"/>
    <x v="52"/>
    <s v="Male"/>
    <s v="36-45"/>
    <x v="1"/>
    <x v="3"/>
    <x v="3"/>
    <m/>
    <x v="3"/>
    <x v="4"/>
    <n v="84"/>
    <n v="0.83582089552238803"/>
  </r>
  <r>
    <x v="53"/>
    <x v="53"/>
    <s v="Male"/>
    <s v="26-35"/>
    <x v="4"/>
    <x v="1"/>
    <x v="0"/>
    <m/>
    <x v="2"/>
    <x v="3"/>
    <n v="89"/>
    <n v="0.88557213930348255"/>
  </r>
  <r>
    <x v="54"/>
    <x v="54"/>
    <s v="Male"/>
    <s v="46-60"/>
    <x v="1"/>
    <x v="2"/>
    <x v="2"/>
    <m/>
    <x v="1"/>
    <x v="2"/>
    <n v="94"/>
    <n v="0.93532338308457708"/>
  </r>
  <r>
    <x v="55"/>
    <x v="55"/>
    <s v="Male"/>
    <s v="26-35"/>
    <x v="4"/>
    <x v="1"/>
    <x v="1"/>
    <m/>
    <x v="1"/>
    <x v="1"/>
    <n v="78"/>
    <n v="0.77611940298507465"/>
  </r>
  <r>
    <x v="56"/>
    <x v="56"/>
    <s v="Female"/>
    <s v="36-45"/>
    <x v="3"/>
    <x v="0"/>
    <x v="4"/>
    <m/>
    <x v="1"/>
    <x v="2"/>
    <n v="81"/>
    <n v="0.80597014925373134"/>
  </r>
  <r>
    <x v="57"/>
    <x v="57"/>
    <s v="Male"/>
    <s v="18-25"/>
    <x v="2"/>
    <x v="2"/>
    <x v="3"/>
    <m/>
    <x v="2"/>
    <x v="4"/>
    <n v="76"/>
    <n v="0.75621890547263682"/>
  </r>
  <r>
    <x v="58"/>
    <x v="58"/>
    <s v="Female"/>
    <s v="46-60"/>
    <x v="3"/>
    <x v="1"/>
    <x v="2"/>
    <m/>
    <x v="2"/>
    <x v="0"/>
    <n v="86"/>
    <n v="0.85572139303482586"/>
  </r>
  <r>
    <x v="59"/>
    <x v="59"/>
    <s v="Male"/>
    <s v="46-60"/>
    <x v="2"/>
    <x v="0"/>
    <x v="0"/>
    <m/>
    <x v="3"/>
    <x v="1"/>
    <n v="88"/>
    <n v="0.87562189054726369"/>
  </r>
  <r>
    <x v="60"/>
    <x v="60"/>
    <s v="Male"/>
    <s v="36-45"/>
    <x v="0"/>
    <x v="1"/>
    <x v="2"/>
    <m/>
    <x v="0"/>
    <x v="1"/>
    <n v="88"/>
    <n v="0.87562189054726369"/>
  </r>
  <r>
    <x v="61"/>
    <x v="61"/>
    <s v="Male"/>
    <s v="26-35"/>
    <x v="4"/>
    <x v="2"/>
    <x v="4"/>
    <m/>
    <x v="1"/>
    <x v="1"/>
    <n v="75"/>
    <n v="0.74626865671641796"/>
  </r>
  <r>
    <x v="62"/>
    <x v="62"/>
    <s v="Male"/>
    <s v="36-45"/>
    <x v="3"/>
    <x v="2"/>
    <x v="1"/>
    <m/>
    <x v="2"/>
    <x v="4"/>
    <n v="82"/>
    <n v="0.8159203980099502"/>
  </r>
  <r>
    <x v="63"/>
    <x v="63"/>
    <s v="Male"/>
    <s v="46-60"/>
    <x v="1"/>
    <x v="3"/>
    <x v="0"/>
    <m/>
    <x v="1"/>
    <x v="2"/>
    <n v="91"/>
    <n v="0.90547263681592038"/>
  </r>
  <r>
    <x v="64"/>
    <x v="64"/>
    <s v="Male"/>
    <s v="36-45"/>
    <x v="1"/>
    <x v="3"/>
    <x v="0"/>
    <m/>
    <x v="0"/>
    <x v="1"/>
    <n v="85"/>
    <n v="0.845771144278607"/>
  </r>
  <r>
    <x v="65"/>
    <x v="65"/>
    <s v="Female"/>
    <s v="36-45"/>
    <x v="2"/>
    <x v="2"/>
    <x v="2"/>
    <m/>
    <x v="2"/>
    <x v="3"/>
    <n v="79"/>
    <n v="0.78606965174129351"/>
  </r>
  <r>
    <x v="66"/>
    <x v="66"/>
    <s v="Female"/>
    <s v="46-60"/>
    <x v="0"/>
    <x v="2"/>
    <x v="1"/>
    <m/>
    <x v="1"/>
    <x v="2"/>
    <n v="90"/>
    <n v="0.89552238805970152"/>
  </r>
  <r>
    <x v="67"/>
    <x v="67"/>
    <s v="Male"/>
    <s v="18-25"/>
    <x v="3"/>
    <x v="0"/>
    <x v="4"/>
    <m/>
    <x v="3"/>
    <x v="3"/>
    <n v="73"/>
    <n v="0.72636815920398012"/>
  </r>
  <r>
    <x v="68"/>
    <x v="68"/>
    <s v="Female"/>
    <s v="46-60"/>
    <x v="4"/>
    <x v="0"/>
    <x v="4"/>
    <m/>
    <x v="3"/>
    <x v="1"/>
    <n v="87"/>
    <n v="0.86567164179104472"/>
  </r>
  <r>
    <x v="69"/>
    <x v="69"/>
    <s v="Female"/>
    <s v="36-45"/>
    <x v="3"/>
    <x v="1"/>
    <x v="4"/>
    <m/>
    <x v="3"/>
    <x v="4"/>
    <n v="80"/>
    <n v="0.79601990049751248"/>
  </r>
  <r>
    <x v="70"/>
    <x v="70"/>
    <s v="Female"/>
    <s v="36-45"/>
    <x v="4"/>
    <x v="2"/>
    <x v="1"/>
    <m/>
    <x v="2"/>
    <x v="4"/>
    <n v="92"/>
    <n v="0.91542288557213936"/>
  </r>
  <r>
    <x v="71"/>
    <x v="71"/>
    <s v="Female"/>
    <s v="46-60"/>
    <x v="4"/>
    <x v="2"/>
    <x v="3"/>
    <m/>
    <x v="1"/>
    <x v="4"/>
    <n v="77"/>
    <n v="0.76616915422885568"/>
  </r>
  <r>
    <x v="72"/>
    <x v="72"/>
    <s v="Female"/>
    <s v="18-25"/>
    <x v="4"/>
    <x v="3"/>
    <x v="4"/>
    <m/>
    <x v="2"/>
    <x v="4"/>
    <n v="84"/>
    <n v="0.83582089552238803"/>
  </r>
  <r>
    <x v="73"/>
    <x v="73"/>
    <s v="Male"/>
    <s v="18-25"/>
    <x v="1"/>
    <x v="2"/>
    <x v="0"/>
    <m/>
    <x v="2"/>
    <x v="1"/>
    <n v="89"/>
    <n v="0.88557213930348255"/>
  </r>
  <r>
    <x v="74"/>
    <x v="74"/>
    <s v="Female"/>
    <s v="46-60"/>
    <x v="0"/>
    <x v="1"/>
    <x v="4"/>
    <m/>
    <x v="1"/>
    <x v="0"/>
    <n v="94"/>
    <n v="0.93532338308457708"/>
  </r>
  <r>
    <x v="75"/>
    <x v="75"/>
    <s v="Female"/>
    <s v="46-60"/>
    <x v="3"/>
    <x v="2"/>
    <x v="0"/>
    <m/>
    <x v="2"/>
    <x v="4"/>
    <n v="78"/>
    <n v="0.77611940298507465"/>
  </r>
  <r>
    <x v="76"/>
    <x v="76"/>
    <s v="Male"/>
    <s v="26-35"/>
    <x v="1"/>
    <x v="1"/>
    <x v="1"/>
    <m/>
    <x v="3"/>
    <x v="3"/>
    <n v="81"/>
    <n v="0.80597014925373134"/>
  </r>
  <r>
    <x v="77"/>
    <x v="77"/>
    <s v="Male"/>
    <s v="26-35"/>
    <x v="4"/>
    <x v="0"/>
    <x v="1"/>
    <m/>
    <x v="3"/>
    <x v="1"/>
    <n v="76"/>
    <n v="0.75621890547263682"/>
  </r>
  <r>
    <x v="78"/>
    <x v="78"/>
    <s v="Female"/>
    <s v="18-25"/>
    <x v="4"/>
    <x v="1"/>
    <x v="2"/>
    <m/>
    <x v="3"/>
    <x v="3"/>
    <n v="86"/>
    <n v="0.85572139303482586"/>
  </r>
  <r>
    <x v="79"/>
    <x v="79"/>
    <s v="Female"/>
    <s v="46-60"/>
    <x v="4"/>
    <x v="3"/>
    <x v="2"/>
    <m/>
    <x v="0"/>
    <x v="2"/>
    <n v="88"/>
    <n v="0.87562189054726369"/>
  </r>
  <r>
    <x v="80"/>
    <x v="80"/>
    <s v="Female"/>
    <s v="46-60"/>
    <x v="4"/>
    <x v="1"/>
    <x v="3"/>
    <m/>
    <x v="0"/>
    <x v="3"/>
    <n v="88"/>
    <n v="0.87562189054726369"/>
  </r>
  <r>
    <x v="81"/>
    <x v="81"/>
    <s v="Female"/>
    <s v="26-35"/>
    <x v="0"/>
    <x v="2"/>
    <x v="2"/>
    <m/>
    <x v="3"/>
    <x v="4"/>
    <n v="75"/>
    <n v="0.74626865671641796"/>
  </r>
  <r>
    <x v="82"/>
    <x v="82"/>
    <s v="Female"/>
    <s v="18-25"/>
    <x v="0"/>
    <x v="1"/>
    <x v="4"/>
    <m/>
    <x v="0"/>
    <x v="1"/>
    <n v="82"/>
    <n v="0.8159203980099502"/>
  </r>
  <r>
    <x v="83"/>
    <x v="83"/>
    <s v="Female"/>
    <s v="46-60"/>
    <x v="2"/>
    <x v="1"/>
    <x v="0"/>
    <m/>
    <x v="1"/>
    <x v="3"/>
    <n v="91"/>
    <n v="0.90547263681592038"/>
  </r>
  <r>
    <x v="84"/>
    <x v="84"/>
    <s v="Female"/>
    <s v="26-35"/>
    <x v="1"/>
    <x v="0"/>
    <x v="1"/>
    <m/>
    <x v="2"/>
    <x v="0"/>
    <n v="85"/>
    <n v="0.845771144278607"/>
  </r>
  <r>
    <x v="85"/>
    <x v="85"/>
    <s v="Male"/>
    <s v="26-35"/>
    <x v="2"/>
    <x v="0"/>
    <x v="0"/>
    <m/>
    <x v="2"/>
    <x v="0"/>
    <n v="79"/>
    <n v="0.78606965174129351"/>
  </r>
  <r>
    <x v="86"/>
    <x v="86"/>
    <s v="Male"/>
    <s v="46-60"/>
    <x v="0"/>
    <x v="3"/>
    <x v="0"/>
    <m/>
    <x v="0"/>
    <x v="2"/>
    <n v="90"/>
    <n v="0.89552238805970152"/>
  </r>
  <r>
    <x v="87"/>
    <x v="87"/>
    <s v="Male"/>
    <s v="46-60"/>
    <x v="0"/>
    <x v="2"/>
    <x v="0"/>
    <m/>
    <x v="1"/>
    <x v="3"/>
    <n v="73"/>
    <n v="0.72636815920398012"/>
  </r>
  <r>
    <x v="88"/>
    <x v="88"/>
    <s v="Female"/>
    <s v="46-60"/>
    <x v="4"/>
    <x v="0"/>
    <x v="0"/>
    <m/>
    <x v="3"/>
    <x v="4"/>
    <n v="87"/>
    <n v="0.86567164179104472"/>
  </r>
  <r>
    <x v="89"/>
    <x v="89"/>
    <s v="Male"/>
    <s v="26-35"/>
    <x v="4"/>
    <x v="1"/>
    <x v="3"/>
    <m/>
    <x v="3"/>
    <x v="1"/>
    <n v="80"/>
    <n v="0.79601990049751248"/>
  </r>
  <r>
    <x v="90"/>
    <x v="90"/>
    <s v="Male"/>
    <s v="36-45"/>
    <x v="0"/>
    <x v="0"/>
    <x v="2"/>
    <m/>
    <x v="1"/>
    <x v="2"/>
    <n v="92"/>
    <n v="0.91542288557213936"/>
  </r>
  <r>
    <x v="91"/>
    <x v="91"/>
    <s v="Female"/>
    <s v="46-60"/>
    <x v="3"/>
    <x v="2"/>
    <x v="4"/>
    <m/>
    <x v="1"/>
    <x v="2"/>
    <n v="77"/>
    <n v="0.76616915422885568"/>
  </r>
  <r>
    <x v="92"/>
    <x v="92"/>
    <s v="Female"/>
    <s v="18-25"/>
    <x v="4"/>
    <x v="1"/>
    <x v="0"/>
    <m/>
    <x v="3"/>
    <x v="0"/>
    <n v="84"/>
    <n v="0.83582089552238803"/>
  </r>
  <r>
    <x v="93"/>
    <x v="93"/>
    <s v="Female"/>
    <s v="36-45"/>
    <x v="0"/>
    <x v="2"/>
    <x v="2"/>
    <m/>
    <x v="2"/>
    <x v="2"/>
    <n v="89"/>
    <n v="0.88557213930348255"/>
  </r>
  <r>
    <x v="94"/>
    <x v="94"/>
    <s v="Female"/>
    <s v="18-25"/>
    <x v="2"/>
    <x v="3"/>
    <x v="3"/>
    <m/>
    <x v="0"/>
    <x v="0"/>
    <n v="94"/>
    <n v="0.93532338308457708"/>
  </r>
  <r>
    <x v="95"/>
    <x v="95"/>
    <s v="Female"/>
    <s v="26-35"/>
    <x v="3"/>
    <x v="1"/>
    <x v="3"/>
    <m/>
    <x v="3"/>
    <x v="0"/>
    <n v="78"/>
    <n v="0.77611940298507465"/>
  </r>
  <r>
    <x v="96"/>
    <x v="96"/>
    <s v="Male"/>
    <s v="18-25"/>
    <x v="1"/>
    <x v="3"/>
    <x v="1"/>
    <m/>
    <x v="2"/>
    <x v="4"/>
    <n v="81"/>
    <n v="0.80597014925373134"/>
  </r>
  <r>
    <x v="97"/>
    <x v="97"/>
    <s v="Female"/>
    <s v="46-60"/>
    <x v="2"/>
    <x v="0"/>
    <x v="4"/>
    <m/>
    <x v="2"/>
    <x v="1"/>
    <n v="76"/>
    <n v="0.75621890547263682"/>
  </r>
  <r>
    <x v="98"/>
    <x v="98"/>
    <s v="Female"/>
    <s v="18-25"/>
    <x v="1"/>
    <x v="1"/>
    <x v="4"/>
    <m/>
    <x v="1"/>
    <x v="3"/>
    <n v="86"/>
    <n v="0.85572139303482586"/>
  </r>
  <r>
    <x v="99"/>
    <x v="99"/>
    <s v="Male"/>
    <s v="46-60"/>
    <x v="1"/>
    <x v="3"/>
    <x v="4"/>
    <m/>
    <x v="3"/>
    <x v="3"/>
    <n v="88"/>
    <n v="0.87562189054726369"/>
  </r>
  <r>
    <x v="100"/>
    <x v="100"/>
    <s v="Female"/>
    <s v="26-35"/>
    <x v="3"/>
    <x v="3"/>
    <x v="1"/>
    <m/>
    <x v="0"/>
    <x v="3"/>
    <n v="88"/>
    <n v="0.87562189054726369"/>
  </r>
  <r>
    <x v="101"/>
    <x v="101"/>
    <s v="Male"/>
    <s v="46-60"/>
    <x v="0"/>
    <x v="0"/>
    <x v="1"/>
    <m/>
    <x v="3"/>
    <x v="3"/>
    <n v="75"/>
    <n v="0.74626865671641796"/>
  </r>
  <r>
    <x v="102"/>
    <x v="102"/>
    <s v="Female"/>
    <s v="36-45"/>
    <x v="3"/>
    <x v="0"/>
    <x v="1"/>
    <m/>
    <x v="1"/>
    <x v="0"/>
    <n v="82"/>
    <n v="0.8159203980099502"/>
  </r>
  <r>
    <x v="103"/>
    <x v="103"/>
    <s v="Female"/>
    <s v="26-35"/>
    <x v="0"/>
    <x v="2"/>
    <x v="0"/>
    <m/>
    <x v="2"/>
    <x v="4"/>
    <n v="91"/>
    <n v="0.90547263681592038"/>
  </r>
  <r>
    <x v="104"/>
    <x v="104"/>
    <s v="Male"/>
    <s v="36-45"/>
    <x v="0"/>
    <x v="1"/>
    <x v="2"/>
    <m/>
    <x v="0"/>
    <x v="0"/>
    <n v="85"/>
    <n v="0.845771144278607"/>
  </r>
  <r>
    <x v="105"/>
    <x v="105"/>
    <s v="Male"/>
    <s v="26-35"/>
    <x v="3"/>
    <x v="1"/>
    <x v="2"/>
    <m/>
    <x v="2"/>
    <x v="1"/>
    <n v="79"/>
    <n v="0.78606965174129351"/>
  </r>
  <r>
    <x v="106"/>
    <x v="106"/>
    <s v="Male"/>
    <s v="36-45"/>
    <x v="3"/>
    <x v="3"/>
    <x v="1"/>
    <m/>
    <x v="2"/>
    <x v="3"/>
    <n v="90"/>
    <n v="0.89552238805970152"/>
  </r>
  <r>
    <x v="107"/>
    <x v="107"/>
    <s v="Female"/>
    <s v="36-45"/>
    <x v="4"/>
    <x v="2"/>
    <x v="1"/>
    <m/>
    <x v="3"/>
    <x v="3"/>
    <n v="73"/>
    <n v="0.72636815920398012"/>
  </r>
  <r>
    <x v="108"/>
    <x v="108"/>
    <s v="Male"/>
    <s v="18-25"/>
    <x v="1"/>
    <x v="2"/>
    <x v="4"/>
    <m/>
    <x v="2"/>
    <x v="4"/>
    <n v="87"/>
    <n v="0.86567164179104472"/>
  </r>
  <r>
    <x v="109"/>
    <x v="109"/>
    <s v="Female"/>
    <s v="36-45"/>
    <x v="4"/>
    <x v="1"/>
    <x v="0"/>
    <m/>
    <x v="0"/>
    <x v="3"/>
    <n v="80"/>
    <n v="0.79601990049751248"/>
  </r>
  <r>
    <x v="110"/>
    <x v="110"/>
    <s v="Male"/>
    <s v="18-25"/>
    <x v="4"/>
    <x v="2"/>
    <x v="0"/>
    <m/>
    <x v="0"/>
    <x v="2"/>
    <n v="92"/>
    <n v="0.91542288557213936"/>
  </r>
  <r>
    <x v="111"/>
    <x v="111"/>
    <s v="Male"/>
    <s v="18-25"/>
    <x v="4"/>
    <x v="2"/>
    <x v="2"/>
    <m/>
    <x v="2"/>
    <x v="3"/>
    <n v="77"/>
    <n v="0.76616915422885568"/>
  </r>
  <r>
    <x v="112"/>
    <x v="112"/>
    <s v="Female"/>
    <s v="46-60"/>
    <x v="4"/>
    <x v="1"/>
    <x v="3"/>
    <m/>
    <x v="1"/>
    <x v="4"/>
    <n v="84"/>
    <n v="0.83582089552238803"/>
  </r>
  <r>
    <x v="113"/>
    <x v="113"/>
    <s v="Male"/>
    <s v="36-45"/>
    <x v="0"/>
    <x v="3"/>
    <x v="4"/>
    <m/>
    <x v="1"/>
    <x v="4"/>
    <n v="89"/>
    <n v="0.88557213930348255"/>
  </r>
  <r>
    <x v="114"/>
    <x v="114"/>
    <s v="Female"/>
    <s v="36-45"/>
    <x v="2"/>
    <x v="2"/>
    <x v="4"/>
    <m/>
    <x v="2"/>
    <x v="4"/>
    <n v="94"/>
    <n v="0.93532338308457708"/>
  </r>
  <r>
    <x v="115"/>
    <x v="115"/>
    <s v="Male"/>
    <s v="36-45"/>
    <x v="0"/>
    <x v="3"/>
    <x v="1"/>
    <m/>
    <x v="3"/>
    <x v="4"/>
    <n v="78"/>
    <n v="0.77611940298507465"/>
  </r>
  <r>
    <x v="116"/>
    <x v="116"/>
    <s v="Male"/>
    <s v="36-45"/>
    <x v="2"/>
    <x v="2"/>
    <x v="1"/>
    <m/>
    <x v="0"/>
    <x v="1"/>
    <n v="81"/>
    <n v="0.80597014925373134"/>
  </r>
  <r>
    <x v="117"/>
    <x v="117"/>
    <s v="Male"/>
    <s v="46-60"/>
    <x v="3"/>
    <x v="0"/>
    <x v="1"/>
    <m/>
    <x v="0"/>
    <x v="2"/>
    <n v="76"/>
    <n v="0.75621890547263682"/>
  </r>
  <r>
    <x v="118"/>
    <x v="118"/>
    <s v="Male"/>
    <s v="26-35"/>
    <x v="4"/>
    <x v="0"/>
    <x v="0"/>
    <m/>
    <x v="0"/>
    <x v="0"/>
    <n v="86"/>
    <n v="0.85572139303482586"/>
  </r>
  <r>
    <x v="119"/>
    <x v="119"/>
    <s v="Female"/>
    <s v="18-25"/>
    <x v="2"/>
    <x v="3"/>
    <x v="3"/>
    <m/>
    <x v="1"/>
    <x v="0"/>
    <n v="88"/>
    <n v="0.875621890547263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BDE4B1-87B9-4681-8657-1BB56A0C917B}" name="PivotTable4"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13">
    <pivotField showAll="0"/>
    <pivotField axis="axisRow" showAll="0">
      <items count="9">
        <item x="3"/>
        <item x="5"/>
        <item x="6"/>
        <item x="0"/>
        <item x="1"/>
        <item x="4"/>
        <item x="7"/>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CA2FA2-3CC8-40DB-8E7D-2D5401174BB7}"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No.Customers/Wholesale" fld="0" baseField="0" baseItem="0"/>
    <dataField name="Sum of No.Customers/Retail" fld="1" baseField="0" baseItem="0"/>
    <dataField name="Sum of No.Customers/Mobile Money" fld="2" baseField="0" baseItem="0"/>
    <dataField name="Sum of No.Customers/Cash" fld="3" baseField="0" baseItem="0"/>
    <dataField name="Sum of No.customers/Card" fld="4" baseField="0" baseItem="0"/>
  </dataFields>
  <chartFormats count="10">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D91421-103F-4B5D-BEB4-6574F8CC03D5}" name="PivotTable5"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3">
    <pivotField showAll="0"/>
    <pivotField axis="axisRow" showAll="0">
      <items count="9">
        <item x="3"/>
        <item x="5"/>
        <item x="6"/>
        <item x="0"/>
        <item x="1"/>
        <item x="4"/>
        <item x="7"/>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Total Profi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A6496-6A83-49CD-B4AB-A72F5849C980}" name="PivotTable6"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6" firstHeaderRow="0" firstDataRow="1" firstDataCol="1"/>
  <pivotFields count="13">
    <pivotField showAll="0"/>
    <pivotField axis="axisRow" showAll="0">
      <items count="9">
        <item x="3"/>
        <item x="5"/>
        <item x="6"/>
        <item x="0"/>
        <item x="1"/>
        <item x="4"/>
        <item x="7"/>
        <item x="2"/>
        <item t="default"/>
      </items>
    </pivotField>
    <pivotField showAll="0"/>
    <pivotField axis="axisRow" dataField="1" showAll="0">
      <items count="4">
        <item x="2"/>
        <item x="1"/>
        <item x="0"/>
        <item t="default"/>
      </items>
    </pivotField>
    <pivotField showAll="0"/>
    <pivotField showAll="0"/>
    <pivotField showAll="0"/>
    <pivotField dataField="1" showAll="0">
      <items count="121">
        <item x="111"/>
        <item x="35"/>
        <item x="93"/>
        <item x="17"/>
        <item x="77"/>
        <item x="118"/>
        <item x="45"/>
        <item x="99"/>
        <item x="52"/>
        <item x="64"/>
        <item x="74"/>
        <item x="6"/>
        <item x="117"/>
        <item x="24"/>
        <item x="25"/>
        <item x="92"/>
        <item x="85"/>
        <item x="105"/>
        <item x="39"/>
        <item x="49"/>
        <item x="71"/>
        <item x="112"/>
        <item x="7"/>
        <item x="21"/>
        <item x="4"/>
        <item x="19"/>
        <item x="13"/>
        <item x="54"/>
        <item x="33"/>
        <item x="50"/>
        <item x="0"/>
        <item x="15"/>
        <item x="95"/>
        <item x="27"/>
        <item x="104"/>
        <item x="108"/>
        <item x="68"/>
        <item x="32"/>
        <item x="109"/>
        <item x="5"/>
        <item x="87"/>
        <item x="70"/>
        <item x="86"/>
        <item x="42"/>
        <item x="30"/>
        <item x="75"/>
        <item x="11"/>
        <item x="91"/>
        <item x="119"/>
        <item x="60"/>
        <item x="48"/>
        <item x="84"/>
        <item x="10"/>
        <item x="80"/>
        <item x="67"/>
        <item x="79"/>
        <item x="69"/>
        <item x="51"/>
        <item x="29"/>
        <item x="22"/>
        <item x="57"/>
        <item x="100"/>
        <item x="26"/>
        <item x="113"/>
        <item x="72"/>
        <item x="53"/>
        <item x="2"/>
        <item x="38"/>
        <item x="61"/>
        <item x="40"/>
        <item x="41"/>
        <item x="106"/>
        <item x="1"/>
        <item x="43"/>
        <item x="88"/>
        <item x="56"/>
        <item x="28"/>
        <item x="55"/>
        <item x="116"/>
        <item x="18"/>
        <item x="8"/>
        <item x="66"/>
        <item x="98"/>
        <item x="101"/>
        <item x="97"/>
        <item x="31"/>
        <item x="16"/>
        <item x="114"/>
        <item x="34"/>
        <item x="3"/>
        <item x="102"/>
        <item x="89"/>
        <item x="96"/>
        <item x="23"/>
        <item x="14"/>
        <item x="73"/>
        <item x="47"/>
        <item x="78"/>
        <item x="20"/>
        <item x="65"/>
        <item x="62"/>
        <item x="44"/>
        <item x="46"/>
        <item x="37"/>
        <item x="9"/>
        <item x="90"/>
        <item x="107"/>
        <item x="81"/>
        <item x="63"/>
        <item x="94"/>
        <item x="59"/>
        <item x="82"/>
        <item x="36"/>
        <item x="110"/>
        <item x="83"/>
        <item x="12"/>
        <item x="76"/>
        <item x="58"/>
        <item x="115"/>
        <item x="103"/>
        <item t="default"/>
      </items>
    </pivotField>
    <pivotField showAll="0"/>
    <pivotField showAll="0"/>
    <pivotField showAll="0"/>
    <pivotField showAll="0"/>
    <pivotField showAll="0"/>
  </pivotFields>
  <rowFields count="2">
    <field x="1"/>
    <field x="3"/>
  </rowFields>
  <rowItems count="3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t="grand">
      <x/>
    </i>
  </rowItems>
  <colFields count="1">
    <field x="-2"/>
  </colFields>
  <colItems count="2">
    <i>
      <x/>
    </i>
    <i i="1">
      <x v="1"/>
    </i>
  </colItems>
  <dataFields count="2">
    <dataField name="Sum of Year" fld="3" baseField="0" baseItem="0"/>
    <dataField name="Sum of Total Sale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49D3FE-0BD5-4B74-BE3C-456AC48E5EB2}" name="PivotTable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1" firstHeaderRow="1" firstDataRow="1" firstDataCol="1"/>
  <pivotFields count="13">
    <pivotField showAll="0"/>
    <pivotField axis="axisRow" showAll="0">
      <items count="9">
        <item x="3"/>
        <item x="5"/>
        <item x="6"/>
        <item x="0"/>
        <item x="1"/>
        <item x="4"/>
        <item x="7"/>
        <item x="2"/>
        <item t="default"/>
      </items>
    </pivotField>
    <pivotField showAll="0"/>
    <pivotField showAll="0"/>
    <pivotField showAll="0"/>
    <pivotField showAll="0"/>
    <pivotField showAll="0"/>
    <pivotField dataField="1" showAll="0"/>
    <pivotField showAll="0"/>
    <pivotField showAll="0"/>
    <pivotField axis="axisRow" showAll="0">
      <items count="6">
        <item x="1"/>
        <item x="0"/>
        <item x="3"/>
        <item x="2"/>
        <item x="4"/>
        <item t="default"/>
      </items>
    </pivotField>
    <pivotField showAll="0"/>
    <pivotField showAll="0"/>
  </pivotFields>
  <rowFields count="2">
    <field x="1"/>
    <field x="10"/>
  </rowFields>
  <rowItems count="48">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x v="6"/>
    </i>
    <i r="1">
      <x/>
    </i>
    <i r="1">
      <x v="1"/>
    </i>
    <i r="1">
      <x v="2"/>
    </i>
    <i r="1">
      <x v="3"/>
    </i>
    <i r="1">
      <x v="4"/>
    </i>
    <i>
      <x v="7"/>
    </i>
    <i r="1">
      <x/>
    </i>
    <i r="1">
      <x v="1"/>
    </i>
    <i r="1">
      <x v="2"/>
    </i>
    <i r="1">
      <x v="3"/>
    </i>
    <i r="1">
      <x v="4"/>
    </i>
    <i t="grand">
      <x/>
    </i>
  </rowItems>
  <colItems count="1">
    <i/>
  </colItems>
  <dataFields count="1">
    <dataField name="Sum of Total Sales" fld="7"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9A70B1-3052-441C-A376-792685041B1E}" name="PivotTable8"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13">
    <pivotField showAll="0"/>
    <pivotField axis="axisRow" showAll="0">
      <items count="9">
        <item x="3"/>
        <item x="5"/>
        <item x="6"/>
        <item x="0"/>
        <item x="1"/>
        <item x="4"/>
        <item x="7"/>
        <item x="2"/>
        <item t="default"/>
      </items>
    </pivotField>
    <pivotField showAll="0"/>
    <pivotField showAll="0"/>
    <pivotField showAll="0"/>
    <pivotField showAll="0"/>
    <pivotField showAll="0"/>
    <pivotField showAll="0"/>
    <pivotField showAll="0"/>
    <pivotField dataField="1" showAll="0">
      <items count="119">
        <item x="51"/>
        <item x="9"/>
        <item x="72"/>
        <item x="31"/>
        <item x="22"/>
        <item x="47"/>
        <item x="34"/>
        <item x="61"/>
        <item x="36"/>
        <item x="8"/>
        <item x="43"/>
        <item x="87"/>
        <item x="107"/>
        <item x="59"/>
        <item x="13"/>
        <item x="109"/>
        <item x="42"/>
        <item x="114"/>
        <item x="35"/>
        <item x="63"/>
        <item x="92"/>
        <item x="49"/>
        <item x="112"/>
        <item x="2"/>
        <item x="110"/>
        <item x="102"/>
        <item x="14"/>
        <item x="50"/>
        <item x="12"/>
        <item x="69"/>
        <item x="46"/>
        <item x="68"/>
        <item x="45"/>
        <item x="96"/>
        <item x="48"/>
        <item x="11"/>
        <item x="41"/>
        <item x="1"/>
        <item x="117"/>
        <item x="57"/>
        <item x="39"/>
        <item x="108"/>
        <item x="29"/>
        <item x="94"/>
        <item x="26"/>
        <item x="55"/>
        <item x="71"/>
        <item x="25"/>
        <item x="88"/>
        <item x="116"/>
        <item x="20"/>
        <item x="113"/>
        <item x="54"/>
        <item x="33"/>
        <item x="90"/>
        <item x="6"/>
        <item x="53"/>
        <item x="76"/>
        <item x="67"/>
        <item x="99"/>
        <item x="104"/>
        <item x="52"/>
        <item x="101"/>
        <item x="98"/>
        <item x="16"/>
        <item x="23"/>
        <item x="7"/>
        <item x="0"/>
        <item x="19"/>
        <item x="70"/>
        <item x="66"/>
        <item x="27"/>
        <item x="32"/>
        <item x="65"/>
        <item x="38"/>
        <item x="58"/>
        <item x="28"/>
        <item x="10"/>
        <item x="75"/>
        <item x="64"/>
        <item x="77"/>
        <item x="100"/>
        <item x="74"/>
        <item x="30"/>
        <item x="79"/>
        <item x="83"/>
        <item x="3"/>
        <item x="15"/>
        <item x="80"/>
        <item x="95"/>
        <item x="37"/>
        <item x="21"/>
        <item x="62"/>
        <item x="103"/>
        <item x="106"/>
        <item x="82"/>
        <item x="93"/>
        <item x="44"/>
        <item x="91"/>
        <item x="89"/>
        <item x="40"/>
        <item x="84"/>
        <item x="78"/>
        <item x="5"/>
        <item x="81"/>
        <item x="85"/>
        <item x="111"/>
        <item x="97"/>
        <item x="4"/>
        <item x="73"/>
        <item x="60"/>
        <item x="105"/>
        <item x="86"/>
        <item x="24"/>
        <item x="56"/>
        <item x="18"/>
        <item x="17"/>
        <item x="115"/>
        <item t="default"/>
      </items>
    </pivotField>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Profit Percentage" fld="9"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1" format="7">
      <pivotArea type="data" outline="0" fieldPosition="0">
        <references count="2">
          <reference field="4294967294" count="1" selected="0">
            <x v="0"/>
          </reference>
          <reference field="1" count="1" selected="0">
            <x v="5"/>
          </reference>
        </references>
      </pivotArea>
    </chartFormat>
    <chartFormat chart="1" format="8">
      <pivotArea type="data" outline="0" fieldPosition="0">
        <references count="2">
          <reference field="4294967294" count="1" selected="0">
            <x v="0"/>
          </reference>
          <reference field="1" count="1" selected="0">
            <x v="6"/>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1"/>
          </reference>
        </references>
      </pivotArea>
    </chartFormat>
    <chartFormat chart="2" format="13">
      <pivotArea type="data" outline="0" fieldPosition="0">
        <references count="2">
          <reference field="4294967294" count="1" selected="0">
            <x v="0"/>
          </reference>
          <reference field="1" count="1" selected="0">
            <x v="2"/>
          </reference>
        </references>
      </pivotArea>
    </chartFormat>
    <chartFormat chart="2" format="14">
      <pivotArea type="data" outline="0" fieldPosition="0">
        <references count="2">
          <reference field="4294967294" count="1" selected="0">
            <x v="0"/>
          </reference>
          <reference field="1" count="1" selected="0">
            <x v="3"/>
          </reference>
        </references>
      </pivotArea>
    </chartFormat>
    <chartFormat chart="2" format="15">
      <pivotArea type="data" outline="0" fieldPosition="0">
        <references count="2">
          <reference field="4294967294" count="1" selected="0">
            <x v="0"/>
          </reference>
          <reference field="1" count="1" selected="0">
            <x v="4"/>
          </reference>
        </references>
      </pivotArea>
    </chartFormat>
    <chartFormat chart="2" format="16">
      <pivotArea type="data" outline="0" fieldPosition="0">
        <references count="2">
          <reference field="4294967294" count="1" selected="0">
            <x v="0"/>
          </reference>
          <reference field="1" count="1" selected="0">
            <x v="5"/>
          </reference>
        </references>
      </pivotArea>
    </chartFormat>
    <chartFormat chart="2" format="17">
      <pivotArea type="data" outline="0" fieldPosition="0">
        <references count="2">
          <reference field="4294967294" count="1" selected="0">
            <x v="0"/>
          </reference>
          <reference field="1" count="1" selected="0">
            <x v="6"/>
          </reference>
        </references>
      </pivotArea>
    </chartFormat>
    <chartFormat chart="2" format="18">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F91382-2854-4870-959C-322841C598DA}" name="PivotTable17"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 firstHeaderRow="0" firstDataRow="1" firstDataCol="0"/>
  <pivotFields count="2">
    <pivotField dataField="1" showAll="0"/>
    <pivotField dataField="1" showAll="0"/>
  </pivotFields>
  <rowItems count="1">
    <i/>
  </rowItems>
  <colFields count="1">
    <field x="-2"/>
  </colFields>
  <colItems count="2">
    <i>
      <x/>
    </i>
    <i i="1">
      <x v="1"/>
    </i>
  </colItems>
  <dataFields count="2">
    <dataField name="Sum of No.male" fld="0" baseField="0" baseItem="0"/>
    <dataField name="Sum of No.Female"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4D14A1-48D3-45DE-A632-1224CE1C34BB}" name="PivotTable18" cacheId="1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4" firstHeaderRow="0" firstDataRow="1" firstDataCol="0"/>
  <pivotFields count="5">
    <pivotField dataField="1" showAll="0"/>
    <pivotField dataField="1" showAll="0">
      <items count="2">
        <item x="0"/>
        <item t="default"/>
      </items>
    </pivotField>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No.Managers" fld="0" baseField="0" baseItem="0"/>
    <dataField name="Sum of No.Analysts" fld="1" baseField="0" baseItem="0"/>
    <dataField name="Sum of No.Intern" fld="2" baseField="0" baseItem="0"/>
    <dataField name="Sum of No.Developers" fld="3" baseField="0" baseItem="0"/>
    <dataField name="Sum of No.Supports" fld="4"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E8C0F5-485C-4C62-95B9-A7345B9E752C}" name="PivotTable24"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3">
    <pivotField axis="axisRow" showAll="0">
      <items count="6">
        <item x="2"/>
        <item x="0"/>
        <item x="3"/>
        <item x="1"/>
        <item x="4"/>
        <item t="default"/>
      </items>
    </pivotField>
    <pivotField showAll="0"/>
    <pivotField dataField="1" numFmtId="10" showAll="0">
      <items count="20">
        <item x="7"/>
        <item x="1"/>
        <item x="17"/>
        <item x="11"/>
        <item x="15"/>
        <item x="5"/>
        <item x="9"/>
        <item x="16"/>
        <item x="2"/>
        <item x="12"/>
        <item x="4"/>
        <item x="18"/>
        <item x="8"/>
        <item x="0"/>
        <item x="13"/>
        <item x="6"/>
        <item x="3"/>
        <item x="10"/>
        <item x="14"/>
        <item t="default"/>
      </items>
    </pivotField>
  </pivotFields>
  <rowFields count="1">
    <field x="0"/>
  </rowFields>
  <rowItems count="6">
    <i>
      <x/>
    </i>
    <i>
      <x v="1"/>
    </i>
    <i>
      <x v="2"/>
    </i>
    <i>
      <x v="3"/>
    </i>
    <i>
      <x v="4"/>
    </i>
    <i t="grand">
      <x/>
    </i>
  </rowItems>
  <colItems count="1">
    <i/>
  </colItems>
  <dataFields count="1">
    <dataField name="Sum of Performance%" fld="2"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87662BB-830A-4624-A441-430D71F8D22F}" name="PivotTable26"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9" firstHeaderRow="0" firstDataRow="1" firstDataCol="1"/>
  <pivotFields count="5">
    <pivotField axis="axisRow" showAll="0">
      <items count="6">
        <item x="1"/>
        <item x="0"/>
        <item x="4"/>
        <item x="2"/>
        <item x="3"/>
        <item t="default"/>
      </items>
    </pivotField>
    <pivotField dataField="1" showAll="0">
      <items count="6">
        <item x="4"/>
        <item x="3"/>
        <item x="2"/>
        <item x="1"/>
        <item x="0"/>
        <item t="default"/>
      </items>
    </pivotField>
    <pivotField dataField="1" showAll="0">
      <items count="5">
        <item x="3"/>
        <item x="0"/>
        <item x="2"/>
        <item x="1"/>
        <item t="default"/>
      </items>
    </pivotField>
    <pivotField dataField="1" showAll="0">
      <items count="5">
        <item x="3"/>
        <item x="0"/>
        <item x="1"/>
        <item x="2"/>
        <item t="default"/>
      </items>
    </pivotField>
    <pivotField dataField="1" showAll="0">
      <items count="5">
        <item x="3"/>
        <item x="2"/>
        <item x="1"/>
        <item x="0"/>
        <item t="default"/>
      </items>
    </pivotField>
  </pivotFields>
  <rowFields count="1">
    <field x="0"/>
  </rowFields>
  <rowItems count="6">
    <i>
      <x/>
    </i>
    <i>
      <x v="1"/>
    </i>
    <i>
      <x v="2"/>
    </i>
    <i>
      <x v="3"/>
    </i>
    <i>
      <x v="4"/>
    </i>
    <i t="grand">
      <x/>
    </i>
  </rowItems>
  <colFields count="1">
    <field x="-2"/>
  </colFields>
  <colItems count="4">
    <i>
      <x/>
    </i>
    <i i="1">
      <x v="1"/>
    </i>
    <i i="2">
      <x v="2"/>
    </i>
    <i i="3">
      <x v="3"/>
    </i>
  </colItems>
  <dataFields count="4">
    <dataField name="Sum of Salary Range(200K-400K)" fld="1" baseField="0" baseItem="0"/>
    <dataField name="Sum of Salary Range(400K-700K)" fld="2" baseField="0" baseItem="0"/>
    <dataField name="Sum of Salary Range(700K-1M)" fld="3" baseField="0" baseItem="0"/>
    <dataField name="Sum of Salary Range(M+)" fld="4"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5E02A2-044F-4077-A75F-2B54074B0CED}" name="PivotTable27"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28" firstHeaderRow="1" firstDataRow="1" firstDataCol="1"/>
  <pivotFields count="12">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showAll="0">
      <items count="121">
        <item x="62"/>
        <item x="0"/>
        <item x="50"/>
        <item x="103"/>
        <item x="24"/>
        <item x="77"/>
        <item x="51"/>
        <item x="1"/>
        <item x="104"/>
        <item x="78"/>
        <item x="25"/>
        <item x="26"/>
        <item x="52"/>
        <item x="2"/>
        <item x="79"/>
        <item x="105"/>
        <item x="53"/>
        <item x="106"/>
        <item x="27"/>
        <item x="80"/>
        <item x="3"/>
        <item x="81"/>
        <item x="54"/>
        <item x="107"/>
        <item x="4"/>
        <item x="61"/>
        <item x="28"/>
        <item x="5"/>
        <item x="82"/>
        <item x="29"/>
        <item x="55"/>
        <item x="30"/>
        <item x="6"/>
        <item x="83"/>
        <item x="108"/>
        <item x="84"/>
        <item x="56"/>
        <item x="7"/>
        <item x="85"/>
        <item x="31"/>
        <item x="57"/>
        <item x="109"/>
        <item x="32"/>
        <item x="86"/>
        <item x="110"/>
        <item x="58"/>
        <item x="8"/>
        <item x="59"/>
        <item x="9"/>
        <item x="87"/>
        <item x="33"/>
        <item x="111"/>
        <item x="34"/>
        <item x="35"/>
        <item x="112"/>
        <item x="63"/>
        <item x="10"/>
        <item x="88"/>
        <item x="11"/>
        <item x="64"/>
        <item x="113"/>
        <item x="89"/>
        <item x="36"/>
        <item x="114"/>
        <item x="37"/>
        <item x="65"/>
        <item x="12"/>
        <item x="90"/>
        <item x="38"/>
        <item x="13"/>
        <item x="115"/>
        <item x="91"/>
        <item x="66"/>
        <item x="92"/>
        <item x="67"/>
        <item x="14"/>
        <item x="116"/>
        <item x="39"/>
        <item x="40"/>
        <item x="117"/>
        <item x="15"/>
        <item x="93"/>
        <item x="68"/>
        <item x="41"/>
        <item x="42"/>
        <item x="94"/>
        <item x="16"/>
        <item x="118"/>
        <item x="17"/>
        <item x="95"/>
        <item x="69"/>
        <item x="43"/>
        <item x="119"/>
        <item x="70"/>
        <item x="18"/>
        <item x="96"/>
        <item x="44"/>
        <item x="19"/>
        <item x="71"/>
        <item x="45"/>
        <item x="97"/>
        <item x="46"/>
        <item x="20"/>
        <item x="98"/>
        <item x="72"/>
        <item x="47"/>
        <item x="99"/>
        <item x="21"/>
        <item x="73"/>
        <item x="74"/>
        <item x="22"/>
        <item x="48"/>
        <item x="100"/>
        <item x="75"/>
        <item x="23"/>
        <item x="101"/>
        <item x="49"/>
        <item x="102"/>
        <item x="76"/>
        <item x="60"/>
        <item t="default"/>
      </items>
    </pivotField>
    <pivotField showAll="0"/>
    <pivotField showAll="0"/>
    <pivotField showAll="0"/>
    <pivotField axis="axisRow" showAll="0">
      <items count="5">
        <item x="0"/>
        <item x="3"/>
        <item x="1"/>
        <item x="2"/>
        <item t="default"/>
      </items>
    </pivotField>
    <pivotField showAll="0"/>
    <pivotField showAll="0"/>
    <pivotField showAll="0">
      <items count="5">
        <item x="0"/>
        <item x="2"/>
        <item x="1"/>
        <item x="3"/>
        <item t="default"/>
      </items>
    </pivotField>
    <pivotField axis="axisRow" showAll="0">
      <items count="6">
        <item x="1"/>
        <item x="4"/>
        <item x="0"/>
        <item x="3"/>
        <item x="2"/>
        <item t="default"/>
      </items>
    </pivotField>
    <pivotField showAll="0"/>
    <pivotField showAll="0"/>
  </pivotFields>
  <rowFields count="2">
    <field x="5"/>
    <field x="9"/>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Count of Employee I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EE0B91-6701-4B71-918F-CDAAC7DAEF55}" name="PivotTable28"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2">
    <pivotField showAll="0"/>
    <pivotField showAll="0">
      <items count="121">
        <item x="62"/>
        <item x="0"/>
        <item x="50"/>
        <item x="103"/>
        <item x="24"/>
        <item x="77"/>
        <item x="51"/>
        <item x="1"/>
        <item x="104"/>
        <item x="78"/>
        <item x="25"/>
        <item x="26"/>
        <item x="52"/>
        <item x="2"/>
        <item x="79"/>
        <item x="105"/>
        <item x="53"/>
        <item x="106"/>
        <item x="27"/>
        <item x="80"/>
        <item x="3"/>
        <item x="81"/>
        <item x="54"/>
        <item x="107"/>
        <item x="4"/>
        <item x="61"/>
        <item x="28"/>
        <item x="5"/>
        <item x="82"/>
        <item x="29"/>
        <item x="55"/>
        <item x="30"/>
        <item x="6"/>
        <item x="83"/>
        <item x="108"/>
        <item x="84"/>
        <item x="56"/>
        <item x="7"/>
        <item x="85"/>
        <item x="31"/>
        <item x="57"/>
        <item x="109"/>
        <item x="32"/>
        <item x="86"/>
        <item x="110"/>
        <item x="58"/>
        <item x="8"/>
        <item x="59"/>
        <item x="9"/>
        <item x="87"/>
        <item x="33"/>
        <item x="111"/>
        <item x="34"/>
        <item x="35"/>
        <item x="112"/>
        <item x="63"/>
        <item x="10"/>
        <item x="88"/>
        <item x="11"/>
        <item x="64"/>
        <item x="113"/>
        <item x="89"/>
        <item x="36"/>
        <item x="114"/>
        <item x="37"/>
        <item x="65"/>
        <item x="12"/>
        <item x="90"/>
        <item x="38"/>
        <item x="13"/>
        <item x="115"/>
        <item x="91"/>
        <item x="66"/>
        <item x="92"/>
        <item x="67"/>
        <item x="14"/>
        <item x="116"/>
        <item x="39"/>
        <item x="40"/>
        <item x="117"/>
        <item x="15"/>
        <item x="93"/>
        <item x="68"/>
        <item x="41"/>
        <item x="42"/>
        <item x="94"/>
        <item x="16"/>
        <item x="118"/>
        <item x="17"/>
        <item x="95"/>
        <item x="69"/>
        <item x="43"/>
        <item x="119"/>
        <item x="70"/>
        <item x="18"/>
        <item x="96"/>
        <item x="44"/>
        <item x="19"/>
        <item x="71"/>
        <item x="45"/>
        <item x="97"/>
        <item x="46"/>
        <item x="20"/>
        <item x="98"/>
        <item x="72"/>
        <item x="47"/>
        <item x="99"/>
        <item x="21"/>
        <item x="73"/>
        <item x="74"/>
        <item x="22"/>
        <item x="48"/>
        <item x="100"/>
        <item x="75"/>
        <item x="23"/>
        <item x="101"/>
        <item x="49"/>
        <item x="102"/>
        <item x="76"/>
        <item x="60"/>
        <item t="default"/>
      </items>
    </pivotField>
    <pivotField showAll="0"/>
    <pivotField showAll="0"/>
    <pivotField axis="axisRow" showAll="0">
      <items count="6">
        <item x="4"/>
        <item x="1"/>
        <item x="0"/>
        <item x="2"/>
        <item x="3"/>
        <item t="default"/>
      </items>
    </pivotField>
    <pivotField showAll="0"/>
    <pivotField dataField="1" showAll="0">
      <items count="6">
        <item x="2"/>
        <item x="0"/>
        <item x="3"/>
        <item x="1"/>
        <item x="4"/>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Department" fld="6" subtotal="count" baseField="0" baseItem="0"/>
  </dataFields>
  <chartFormats count="7">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4" count="1" selected="0">
            <x v="0"/>
          </reference>
        </references>
      </pivotArea>
    </chartFormat>
    <chartFormat chart="5" format="9">
      <pivotArea type="data" outline="0" fieldPosition="0">
        <references count="2">
          <reference field="4294967294" count="1" selected="0">
            <x v="0"/>
          </reference>
          <reference field="4" count="1" selected="0">
            <x v="1"/>
          </reference>
        </references>
      </pivotArea>
    </chartFormat>
    <chartFormat chart="5" format="10">
      <pivotArea type="data" outline="0" fieldPosition="0">
        <references count="2">
          <reference field="4294967294" count="1" selected="0">
            <x v="0"/>
          </reference>
          <reference field="4" count="1" selected="0">
            <x v="2"/>
          </reference>
        </references>
      </pivotArea>
    </chartFormat>
    <chartFormat chart="5" format="11">
      <pivotArea type="data" outline="0" fieldPosition="0">
        <references count="2">
          <reference field="4294967294" count="1" selected="0">
            <x v="0"/>
          </reference>
          <reference field="4" count="1" selected="0">
            <x v="3"/>
          </reference>
        </references>
      </pivotArea>
    </chartFormat>
    <chartFormat chart="5"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A304D92-3E05-4574-A269-0F161536FF83}" sourceName="Product Name">
  <pivotTables>
    <pivotTable tabId="7" name="PivotTable5"/>
  </pivotTables>
  <data>
    <tabular pivotCacheId="1798555628">
      <items count="8">
        <i x="3" s="1"/>
        <i x="5" s="1"/>
        <i x="6" s="1"/>
        <i x="0" s="1"/>
        <i x="1" s="1"/>
        <i x="4"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s" xr10:uid="{5AF0DD36-7883-41F4-8823-2C1AD32C6ADF}" sourceName="Total Sales">
  <pivotTables>
    <pivotTable tabId="8" name="PivotTable6"/>
  </pivotTables>
  <data>
    <tabular pivotCacheId="1798555628">
      <items count="120">
        <i x="111" s="1"/>
        <i x="35" s="1"/>
        <i x="93" s="1"/>
        <i x="17" s="1"/>
        <i x="77" s="1"/>
        <i x="118" s="1"/>
        <i x="45" s="1"/>
        <i x="99" s="1"/>
        <i x="52" s="1"/>
        <i x="64" s="1"/>
        <i x="74" s="1"/>
        <i x="6" s="1"/>
        <i x="117" s="1"/>
        <i x="24" s="1"/>
        <i x="25" s="1"/>
        <i x="92" s="1"/>
        <i x="85" s="1"/>
        <i x="105" s="1"/>
        <i x="39" s="1"/>
        <i x="49" s="1"/>
        <i x="71" s="1"/>
        <i x="112" s="1"/>
        <i x="7" s="1"/>
        <i x="21" s="1"/>
        <i x="4" s="1"/>
        <i x="19" s="1"/>
        <i x="13" s="1"/>
        <i x="54" s="1"/>
        <i x="33" s="1"/>
        <i x="50" s="1"/>
        <i x="0" s="1"/>
        <i x="15" s="1"/>
        <i x="95" s="1"/>
        <i x="27" s="1"/>
        <i x="104" s="1"/>
        <i x="108" s="1"/>
        <i x="68" s="1"/>
        <i x="32" s="1"/>
        <i x="109" s="1"/>
        <i x="5" s="1"/>
        <i x="87" s="1"/>
        <i x="70" s="1"/>
        <i x="86" s="1"/>
        <i x="42" s="1"/>
        <i x="30" s="1"/>
        <i x="75" s="1"/>
        <i x="11" s="1"/>
        <i x="91" s="1"/>
        <i x="119" s="1"/>
        <i x="60" s="1"/>
        <i x="48" s="1"/>
        <i x="84" s="1"/>
        <i x="10" s="1"/>
        <i x="80" s="1"/>
        <i x="67" s="1"/>
        <i x="79" s="1"/>
        <i x="69" s="1"/>
        <i x="51" s="1"/>
        <i x="29" s="1"/>
        <i x="22" s="1"/>
        <i x="57" s="1"/>
        <i x="100" s="1"/>
        <i x="26" s="1"/>
        <i x="113" s="1"/>
        <i x="72" s="1"/>
        <i x="53" s="1"/>
        <i x="2" s="1"/>
        <i x="38" s="1"/>
        <i x="61" s="1"/>
        <i x="40" s="1"/>
        <i x="41" s="1"/>
        <i x="106" s="1"/>
        <i x="1" s="1"/>
        <i x="43" s="1"/>
        <i x="88" s="1"/>
        <i x="56" s="1"/>
        <i x="28" s="1"/>
        <i x="55" s="1"/>
        <i x="116" s="1"/>
        <i x="18" s="1"/>
        <i x="8" s="1"/>
        <i x="66" s="1"/>
        <i x="98" s="1"/>
        <i x="101" s="1"/>
        <i x="97" s="1"/>
        <i x="31" s="1"/>
        <i x="16" s="1"/>
        <i x="114" s="1"/>
        <i x="34" s="1"/>
        <i x="3" s="1"/>
        <i x="102" s="1"/>
        <i x="89" s="1"/>
        <i x="96" s="1"/>
        <i x="23" s="1"/>
        <i x="14" s="1"/>
        <i x="73" s="1"/>
        <i x="47" s="1"/>
        <i x="78" s="1"/>
        <i x="20" s="1"/>
        <i x="65" s="1"/>
        <i x="62" s="1"/>
        <i x="44" s="1"/>
        <i x="46" s="1"/>
        <i x="37" s="1"/>
        <i x="9" s="1"/>
        <i x="90" s="1"/>
        <i x="107" s="1"/>
        <i x="81" s="1"/>
        <i x="63" s="1"/>
        <i x="94" s="1"/>
        <i x="59" s="1"/>
        <i x="82" s="1"/>
        <i x="36" s="1"/>
        <i x="110" s="1"/>
        <i x="83" s="1"/>
        <i x="12" s="1"/>
        <i x="76" s="1"/>
        <i x="58" s="1"/>
        <i x="115" s="1"/>
        <i x="10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Percentage" xr10:uid="{85CA478B-4083-49C7-96CB-D78004D6DECE}" sourceName="Profit Percentage">
  <pivotTables>
    <pivotTable tabId="10" name="PivotTable8"/>
  </pivotTables>
  <data>
    <tabular pivotCacheId="1798555628">
      <items count="118">
        <i x="51" s="1"/>
        <i x="9" s="1"/>
        <i x="72" s="1"/>
        <i x="31" s="1"/>
        <i x="22" s="1"/>
        <i x="47" s="1"/>
        <i x="34" s="1"/>
        <i x="61" s="1"/>
        <i x="36" s="1"/>
        <i x="8" s="1"/>
        <i x="43" s="1"/>
        <i x="87" s="1"/>
        <i x="107" s="1"/>
        <i x="59" s="1"/>
        <i x="13" s="1"/>
        <i x="109" s="1"/>
        <i x="42" s="1"/>
        <i x="114" s="1"/>
        <i x="35" s="1"/>
        <i x="63" s="1"/>
        <i x="92" s="1"/>
        <i x="49" s="1"/>
        <i x="112" s="1"/>
        <i x="2" s="1"/>
        <i x="110" s="1"/>
        <i x="102" s="1"/>
        <i x="14" s="1"/>
        <i x="50" s="1"/>
        <i x="12" s="1"/>
        <i x="69" s="1"/>
        <i x="46" s="1"/>
        <i x="68" s="1"/>
        <i x="45" s="1"/>
        <i x="96" s="1"/>
        <i x="48" s="1"/>
        <i x="11" s="1"/>
        <i x="41" s="1"/>
        <i x="1" s="1"/>
        <i x="117" s="1"/>
        <i x="57" s="1"/>
        <i x="39" s="1"/>
        <i x="108" s="1"/>
        <i x="29" s="1"/>
        <i x="94" s="1"/>
        <i x="26" s="1"/>
        <i x="55" s="1"/>
        <i x="71" s="1"/>
        <i x="25" s="1"/>
        <i x="88" s="1"/>
        <i x="116" s="1"/>
        <i x="20" s="1"/>
        <i x="113" s="1"/>
        <i x="54" s="1"/>
        <i x="33" s="1"/>
        <i x="90" s="1"/>
        <i x="6" s="1"/>
        <i x="53" s="1"/>
        <i x="76" s="1"/>
        <i x="67" s="1"/>
        <i x="99" s="1"/>
        <i x="104" s="1"/>
        <i x="52" s="1"/>
        <i x="101" s="1"/>
        <i x="98" s="1"/>
        <i x="16" s="1"/>
        <i x="23" s="1"/>
        <i x="7" s="1"/>
        <i x="0" s="1"/>
        <i x="19" s="1"/>
        <i x="70" s="1"/>
        <i x="66" s="1"/>
        <i x="27" s="1"/>
        <i x="32" s="1"/>
        <i x="65" s="1"/>
        <i x="38" s="1"/>
        <i x="58" s="1"/>
        <i x="28" s="1"/>
        <i x="10" s="1"/>
        <i x="75" s="1"/>
        <i x="64" s="1"/>
        <i x="77" s="1"/>
        <i x="100" s="1"/>
        <i x="74" s="1"/>
        <i x="30" s="1"/>
        <i x="79" s="1"/>
        <i x="83" s="1"/>
        <i x="3" s="1"/>
        <i x="15" s="1"/>
        <i x="80" s="1"/>
        <i x="95" s="1"/>
        <i x="37" s="1"/>
        <i x="21" s="1"/>
        <i x="62" s="1"/>
        <i x="103" s="1"/>
        <i x="106" s="1"/>
        <i x="82" s="1"/>
        <i x="93" s="1"/>
        <i x="44" s="1"/>
        <i x="91" s="1"/>
        <i x="89" s="1"/>
        <i x="40" s="1"/>
        <i x="84" s="1"/>
        <i x="78" s="1"/>
        <i x="5" s="1"/>
        <i x="81" s="1"/>
        <i x="85" s="1"/>
        <i x="111" s="1"/>
        <i x="97" s="1"/>
        <i x="4" s="1"/>
        <i x="73" s="1"/>
        <i x="60" s="1"/>
        <i x="105" s="1"/>
        <i x="86" s="1"/>
        <i x="24" s="1"/>
        <i x="56" s="1"/>
        <i x="18" s="1"/>
        <i x="17" s="1"/>
        <i x="1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7B16A2E-AFF4-41D3-9043-B748C5C27216}" sourceName="City">
  <pivotTables>
    <pivotTable tabId="9" name="PivotTable7"/>
  </pivotTables>
  <data>
    <tabular pivotCacheId="1798555628">
      <items count="5">
        <i x="1" s="1"/>
        <i x="0" s="1"/>
        <i x="3" s="1"/>
        <i x="2"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D70A566-B7EF-4F5F-A8FC-9C45C5D29EF6}" sourceName="Department">
  <pivotTables>
    <pivotTable tabId="34" name="PivotTable26"/>
  </pivotTables>
  <data>
    <tabular pivotCacheId="1715121800">
      <items count="5">
        <i x="1" s="1"/>
        <i x="0" s="1"/>
        <i x="4"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_200K_400K" xr10:uid="{C5952826-3880-455A-B273-5D691BE2F9EA}" sourceName="Salary Range(200K-400K)">
  <pivotTables>
    <pivotTable tabId="34" name="PivotTable26"/>
  </pivotTables>
  <data>
    <tabular pivotCacheId="1715121800">
      <items count="5">
        <i x="4" s="1"/>
        <i x="3" s="1"/>
        <i x="2" s="1"/>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_400K_700K" xr10:uid="{E40E9936-9818-4360-BC2A-A7FEC869BB27}" sourceName="Salary Range(400K-700K)">
  <pivotTables>
    <pivotTable tabId="34" name="PivotTable26"/>
  </pivotTables>
  <data>
    <tabular pivotCacheId="1715121800">
      <items count="4">
        <i x="3" s="1"/>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_700K_1M" xr10:uid="{89069ADD-7765-4E1F-A92C-362E4D13F256}" sourceName="Salary Range(700K-1M)">
  <pivotTables>
    <pivotTable tabId="34" name="PivotTable26"/>
  </pivotTables>
  <data>
    <tabular pivotCacheId="1715121800">
      <items count="4">
        <i x="3" s="1"/>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_M" xr10:uid="{63CBC314-6EC8-48F5-AF96-5DBC71D9C264}" sourceName="Salary Range(M+)">
  <pivotTables>
    <pivotTable tabId="34" name="PivotTable26"/>
  </pivotTables>
  <data>
    <tabular pivotCacheId="1715121800">
      <items count="4">
        <i x="3" s="1"/>
        <i x="2" s="1"/>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_Range" xr10:uid="{2467EC32-C569-47F9-85F4-CD23F04E7054}" sourceName="Salary Range">
  <pivotTables>
    <pivotTable tabId="35" name="PivotTable27"/>
  </pivotTables>
  <data>
    <tabular pivotCacheId="455545222">
      <items count="4">
        <i x="0" s="1"/>
        <i x="2" s="1"/>
        <i x="1"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96F97770-07B2-41A0-938D-82E70F4EA0BB}" sourceName="Performance%">
  <pivotTables>
    <pivotTable tabId="32" name="PivotTable24"/>
  </pivotTables>
  <data>
    <tabular pivotCacheId="748995542">
      <items count="19">
        <i x="7" s="1"/>
        <i x="1" s="1"/>
        <i x="17" s="1"/>
        <i x="11" s="1"/>
        <i x="15" s="1"/>
        <i x="5" s="1"/>
        <i x="9" s="1"/>
        <i x="16" s="1"/>
        <i x="2" s="1"/>
        <i x="12" s="1"/>
        <i x="4" s="1"/>
        <i x="18" s="1"/>
        <i x="8" s="1"/>
        <i x="0" s="1"/>
        <i x="13" s="1"/>
        <i x="6" s="1"/>
        <i x="3" s="1"/>
        <i x="10" s="1"/>
        <i x="14"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ategory" xr10:uid="{34DCB5CD-A9E9-44FD-B085-029D931D7E63}" sourceName="Job Category">
  <pivotTables>
    <pivotTable tabId="36" name="PivotTable28"/>
  </pivotTables>
  <data>
    <tabular pivotCacheId="455545222">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9173B9AA-4F40-4EBB-91AC-17909CBE7478}" cache="Slicer_Product_Name" caption="Product Name" rowHeight="234950"/>
  <slicer name="Total Sales" xr10:uid="{ABD19307-F975-4406-A52A-C68E41B7847D}" cache="Slicer_Total_Sales" caption="Total Sales" rowHeight="234950"/>
  <slicer name="Profit Percentage" xr10:uid="{7205C20A-DAF6-46BD-884F-C795411C0C92}" cache="Slicer_Profit_Percentage" caption="Profit Percentage" rowHeight="234950"/>
  <slicer name="City" xr10:uid="{97999E06-C307-48E0-92C3-5ED8A53316F8}"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5BD5A37-EAE0-4F5B-9B5A-14C4C9E3EDD8}" cache="Slicer_Department" caption="Department" rowHeight="234950"/>
  <slicer name="Salary Range(200K-400K)" xr10:uid="{32BB4F41-9781-406C-BC37-471F0CBA45B2}" cache="Slicer_Salary_Range_200K_400K" caption="Salary Range(200K-400K)" rowHeight="234950"/>
  <slicer name="Salary Range(400K-700K)" xr10:uid="{0CBC105B-84E8-4E6C-B5B5-BD718CCD4819}" cache="Slicer_Salary_Range_400K_700K" caption="Salary Range(400K-700K)" rowHeight="234950"/>
  <slicer name="Salary Range(700K-1M)" xr10:uid="{CE5F84DB-07C0-41E5-9BED-0DA2272A3BD6}" cache="Slicer_Salary_Range_700K_1M" caption="Salary Range(700K-1M)" rowHeight="234950"/>
  <slicer name="Salary Range(M+)" xr10:uid="{5111C1F3-9D0B-4CB7-A9FB-DA8820EB223F}" cache="Slicer_Salary_Range_M" caption="Salary Range(M+)" rowHeight="234950"/>
  <slicer name="Salary Range" xr10:uid="{F05D5B2C-AD36-4368-9114-274BEB30002A}" cache="Slicer_Salary_Range" caption="Salary Range" rowHeight="234950"/>
  <slicer name="Performance%" xr10:uid="{9A2C784C-AA51-4977-84F0-A5AA5980C5C7}" cache="Slicer_Performance" caption="Performance%" rowHeight="234950"/>
  <slicer name="Job Category" xr10:uid="{A99D487B-57B2-46B3-803D-B3FC9B7122EB}" cache="Slicer_Job_Category" caption="Job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1:M121">
  <autoFilter ref="A1:M121" xr:uid="{00000000-0009-0000-0100-000001000000}"/>
  <tableColumns count="13">
    <tableColumn id="1" xr3:uid="{00000000-0010-0000-0000-000001000000}" name="Product ID"/>
    <tableColumn id="2" xr3:uid="{00000000-0010-0000-0000-000002000000}" name="Product Name"/>
    <tableColumn id="3" xr3:uid="{00000000-0010-0000-0000-000003000000}" name="Category"/>
    <tableColumn id="4" xr3:uid="{00000000-0010-0000-0000-000004000000}" name="Year"/>
    <tableColumn id="5" xr3:uid="{00000000-0010-0000-0000-000005000000}" name="Month"/>
    <tableColumn id="6" xr3:uid="{00000000-0010-0000-0000-000006000000}" name="Sales Amount"/>
    <tableColumn id="7" xr3:uid="{00000000-0010-0000-0000-000007000000}" name="Quantity Sold"/>
    <tableColumn id="15" xr3:uid="{89776EA2-1636-42BF-9225-E44234600589}" name="Total Sales" dataDxfId="12">
      <calculatedColumnFormula>SalesData[[#This Row],[Sales Amount]]*SalesData[[#This Row],[Quantity Sold]]</calculatedColumnFormula>
    </tableColumn>
    <tableColumn id="8" xr3:uid="{00000000-0010-0000-0000-000008000000}" name="Total Profit"/>
    <tableColumn id="9" xr3:uid="{00000000-0010-0000-0000-000009000000}" name="Profit Percentage"/>
    <tableColumn id="10" xr3:uid="{00000000-0010-0000-0000-00000A000000}" name="City"/>
    <tableColumn id="11" xr3:uid="{00000000-0010-0000-0000-00000B000000}" name="Customer Type"/>
    <tableColumn id="12" xr3:uid="{00000000-0010-0000-0000-00000C000000}" name="Payment Metho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01BEDBB-DAF9-489C-8C3B-AB1B0AB937F7}" name="Table3" displayName="Table3" ref="O1:S2" totalsRowShown="0">
  <autoFilter ref="O1:S2" xr:uid="{A01BEDBB-DAF9-489C-8C3B-AB1B0AB937F7}"/>
  <tableColumns count="5">
    <tableColumn id="1" xr3:uid="{75281E4C-9E1C-4077-94FD-11BE8BBBA536}" name="No.Customers/Wholesale">
      <calculatedColumnFormula>COUNTIF(SalesData[Customer Type],"Wholesale")</calculatedColumnFormula>
    </tableColumn>
    <tableColumn id="2" xr3:uid="{63E4FEFF-8DBD-4093-85B7-49AD07B1B47C}" name="No.Customers/Retail">
      <calculatedColumnFormula>COUNTIF(SalesData[Customer Type],"Retail")</calculatedColumnFormula>
    </tableColumn>
    <tableColumn id="3" xr3:uid="{1D2AEADB-2188-42E5-8F80-3D0C0886B38B}" name="No.Customers/Mobile Money">
      <calculatedColumnFormula>COUNTIF(SalesData[Payment Method],"Mobile Money")</calculatedColumnFormula>
    </tableColumn>
    <tableColumn id="4" xr3:uid="{1418F508-AAA6-4A07-8692-FD230C86A387}" name="No.Customers/Cash">
      <calculatedColumnFormula>COUNTIF(SalesData[Payment Method],"Cash")</calculatedColumnFormula>
    </tableColumn>
    <tableColumn id="5" xr3:uid="{05547161-EDD5-4C54-A7FF-789667AFA27F}" name="No.customers/Card">
      <calculatedColumnFormula>COUNTIF(SalesData[Payment Method],"Card")</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mploymentData" displayName="EmploymentData" ref="A1:L121">
  <autoFilter ref="A1:L121" xr:uid="{00000000-0009-0000-0100-000002000000}"/>
  <tableColumns count="12">
    <tableColumn id="1" xr3:uid="{00000000-0010-0000-0100-000001000000}" name="Employee ID" dataDxfId="5"/>
    <tableColumn id="9" xr3:uid="{3D2E5F37-7F70-460B-A505-36E813D2F1A5}" name="Employee Name" dataDxfId="4"/>
    <tableColumn id="2" xr3:uid="{00000000-0010-0000-0100-000002000000}" name="Gender"/>
    <tableColumn id="3" xr3:uid="{00000000-0010-0000-0100-000003000000}" name="Age Group"/>
    <tableColumn id="4" xr3:uid="{00000000-0010-0000-0100-000004000000}" name="Job Category"/>
    <tableColumn id="5" xr3:uid="{00000000-0010-0000-0100-000005000000}" name="Employment Status"/>
    <tableColumn id="6" xr3:uid="{00000000-0010-0000-0100-000006000000}" name="Department"/>
    <tableColumn id="13" xr3:uid="{578558C6-238A-4F11-B315-4D10FE95AEAC}" name="Column1"/>
    <tableColumn id="7" xr3:uid="{00000000-0010-0000-0100-000007000000}" name="Salary Range"/>
    <tableColumn id="8" xr3:uid="{00000000-0010-0000-0100-000008000000}" name="City"/>
    <tableColumn id="10" xr3:uid="{E0A6DFA3-ED56-4E29-AB33-9F1B314E0B93}" name="Performance Score"/>
    <tableColumn id="12" xr3:uid="{2D374FD3-49A5-42C8-8D2A-0A117105EA6C}" name="Performance%" dataDxfId="3" dataCellStyle="Percent">
      <calculatedColumnFormula>EmploymentData[[#This Row],[Performance Score]]*100/10050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4DC09B-6B8C-4EAE-A922-C99B7F0B9BE0}" name="Table4" displayName="Table4" ref="B124:C125" totalsRowShown="0">
  <autoFilter ref="B124:C125" xr:uid="{FC4DC09B-6B8C-4EAE-A922-C99B7F0B9BE0}"/>
  <tableColumns count="2">
    <tableColumn id="1" xr3:uid="{2F077BC9-E7CF-4EDC-85DF-6EDA0C24501E}" name="No.male" dataDxfId="11">
      <calculatedColumnFormula>COUNTIF(EmploymentData[Gender],"Male")</calculatedColumnFormula>
    </tableColumn>
    <tableColumn id="2" xr3:uid="{88A750F7-2E4E-4BCC-BC06-AE79075964F3}" name="No.Female">
      <calculatedColumnFormula>COUNTIF(EmploymentData[Gender],"Female")</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6B21B3-92CA-4D97-B2D0-08A5C4FC25D2}" name="Table5" displayName="Table5" ref="B127:F128" totalsRowShown="0">
  <autoFilter ref="B127:F128" xr:uid="{D26B21B3-92CA-4D97-B2D0-08A5C4FC25D2}"/>
  <tableColumns count="5">
    <tableColumn id="1" xr3:uid="{C9D8BEDD-67DD-4150-8DB7-B656660F9AC9}" name="No.Managers" dataDxfId="10">
      <calculatedColumnFormula>COUNTIF(EmploymentData[Job Category],"Manager")</calculatedColumnFormula>
    </tableColumn>
    <tableColumn id="2" xr3:uid="{54486157-67AB-4C89-ABBA-11A661EEB857}" name="No.Analysts" dataDxfId="9">
      <calculatedColumnFormula>COUNTIF(EmploymentData[Job Category],"Analyst")</calculatedColumnFormula>
    </tableColumn>
    <tableColumn id="3" xr3:uid="{46A33C9A-8951-4E08-8697-D2A2382FB7F8}" name="No.Intern" dataDxfId="8">
      <calculatedColumnFormula>COUNTIF(EmploymentData[Job Category],"Intern")</calculatedColumnFormula>
    </tableColumn>
    <tableColumn id="4" xr3:uid="{813CA65E-8A76-49D8-A050-9AB11C28CB2D}" name="No.Developers" dataDxfId="7">
      <calculatedColumnFormula>COUNTIF(EmploymentData[Job Category],"Developer")</calculatedColumnFormula>
    </tableColumn>
    <tableColumn id="5" xr3:uid="{7DA41773-FC54-4241-9ADC-30E9E028F6A7}" name="No.Supports" dataDxfId="6">
      <calculatedColumnFormula>COUNTIF(EmploymentData[Job Category],"Support")</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022F9B-0E86-4FAA-9A91-D94D39EEBDDD}" name="Table9" displayName="Table9" ref="B130:D250" totalsRowShown="0">
  <autoFilter ref="B130:D250" xr:uid="{64022F9B-0E86-4FAA-9A91-D94D39EEBDDD}"/>
  <tableColumns count="3">
    <tableColumn id="1" xr3:uid="{B4162A02-3E81-4381-A376-8CC8C8C50766}" name="Department" dataDxfId="2"/>
    <tableColumn id="2" xr3:uid="{4DD684AB-5BAB-448E-8E99-4D6C743BB743}" name="Performance" dataDxfId="1"/>
    <tableColumn id="3" xr3:uid="{4451D654-36AC-40C8-A62D-6EA4FFE979D2}" name="Performance%" dataDxfId="0">
      <calculatedColumnFormula>Table9[[#This Row],[Performance]]*100/10050</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D0FD33-9883-4A8C-91CC-A0E1CE615428}" name="Table10" displayName="Table10" ref="F130:J135" totalsRowShown="0">
  <autoFilter ref="F130:J135" xr:uid="{2DD0FD33-9883-4A8C-91CC-A0E1CE615428}"/>
  <tableColumns count="5">
    <tableColumn id="1" xr3:uid="{433C54D6-57CA-4FE5-A31F-49DE261C7596}" name="Department"/>
    <tableColumn id="2" xr3:uid="{565DE670-425B-4169-B916-B60370E272B5}" name="Salary Range(200K-400K)"/>
    <tableColumn id="3" xr3:uid="{567A2D0F-290A-4EED-8EC5-F617D6500053}" name="Salary Range(400K-700K)"/>
    <tableColumn id="4" xr3:uid="{60B1624C-DF3F-400B-B30B-BCAD8B942E5E}" name="Salary Range(700K-1M)"/>
    <tableColumn id="5" xr3:uid="{929A390E-CA1D-40C0-8D6D-F7BF8921F296}" name="Salary Range(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
  <sheetViews>
    <sheetView topLeftCell="K1" workbookViewId="0">
      <selection activeCell="Q10" sqref="Q10"/>
    </sheetView>
  </sheetViews>
  <sheetFormatPr defaultRowHeight="14.4" x14ac:dyDescent="0.3"/>
  <cols>
    <col min="1" max="13" width="20" customWidth="1"/>
    <col min="14" max="14" width="8.88671875" customWidth="1"/>
    <col min="15" max="15" width="24.33203125" customWidth="1"/>
    <col min="16" max="16" width="20.33203125" customWidth="1"/>
    <col min="17" max="17" width="28" customWidth="1"/>
    <col min="18" max="18" width="19.6640625" customWidth="1"/>
    <col min="19" max="19" width="19.33203125" customWidth="1"/>
  </cols>
  <sheetData>
    <row r="1" spans="1:19" x14ac:dyDescent="0.3">
      <c r="A1" s="1" t="s">
        <v>0</v>
      </c>
      <c r="B1" s="1" t="s">
        <v>1</v>
      </c>
      <c r="C1" s="1" t="s">
        <v>2</v>
      </c>
      <c r="D1" s="1" t="s">
        <v>3</v>
      </c>
      <c r="E1" s="1" t="s">
        <v>4</v>
      </c>
      <c r="F1" s="1" t="s">
        <v>5</v>
      </c>
      <c r="G1" s="1" t="s">
        <v>6</v>
      </c>
      <c r="H1" s="8" t="s">
        <v>207</v>
      </c>
      <c r="I1" s="1" t="s">
        <v>7</v>
      </c>
      <c r="J1" s="1" t="s">
        <v>8</v>
      </c>
      <c r="K1" s="1" t="s">
        <v>9</v>
      </c>
      <c r="L1" s="1" t="s">
        <v>10</v>
      </c>
      <c r="M1" s="1" t="s">
        <v>11</v>
      </c>
      <c r="O1" t="s">
        <v>214</v>
      </c>
      <c r="P1" t="s">
        <v>215</v>
      </c>
      <c r="Q1" t="s">
        <v>212</v>
      </c>
      <c r="R1" t="s">
        <v>213</v>
      </c>
      <c r="S1" t="s">
        <v>216</v>
      </c>
    </row>
    <row r="2" spans="1:19" x14ac:dyDescent="0.3">
      <c r="A2" t="s">
        <v>12</v>
      </c>
      <c r="B2" t="s">
        <v>13</v>
      </c>
      <c r="C2" t="s">
        <v>14</v>
      </c>
      <c r="D2">
        <v>2025</v>
      </c>
      <c r="E2" t="s">
        <v>15</v>
      </c>
      <c r="F2">
        <v>271325</v>
      </c>
      <c r="G2">
        <v>25</v>
      </c>
      <c r="H2">
        <f>SalesData[[#This Row],[Sales Amount]]*SalesData[[#This Row],[Quantity Sold]]</f>
        <v>6783125</v>
      </c>
      <c r="I2">
        <v>52785</v>
      </c>
      <c r="J2">
        <v>19.45</v>
      </c>
      <c r="K2" t="s">
        <v>16</v>
      </c>
      <c r="L2" t="s">
        <v>17</v>
      </c>
      <c r="M2" t="s">
        <v>18</v>
      </c>
      <c r="O2">
        <f>COUNTIF(SalesData[Customer Type],"Wholesale")</f>
        <v>63</v>
      </c>
      <c r="P2">
        <f>COUNTIF(SalesData[Customer Type],"Retail")</f>
        <v>57</v>
      </c>
      <c r="Q2">
        <f>COUNTIF(SalesData[Payment Method],"Mobile Money")</f>
        <v>44</v>
      </c>
      <c r="R2">
        <f>COUNTIF(SalesData[Payment Method],"Cash")</f>
        <v>48</v>
      </c>
      <c r="S2">
        <f>COUNTIF(SalesData[Payment Method],"Card")</f>
        <v>28</v>
      </c>
    </row>
    <row r="3" spans="1:19" x14ac:dyDescent="0.3">
      <c r="A3" t="s">
        <v>12</v>
      </c>
      <c r="B3" t="s">
        <v>13</v>
      </c>
      <c r="C3" t="s">
        <v>14</v>
      </c>
      <c r="D3">
        <v>2025</v>
      </c>
      <c r="E3" t="s">
        <v>19</v>
      </c>
      <c r="F3">
        <v>1197358</v>
      </c>
      <c r="G3">
        <v>20</v>
      </c>
      <c r="H3">
        <f>SalesData[[#This Row],[Sales Amount]]*SalesData[[#This Row],[Quantity Sold]]</f>
        <v>23947160</v>
      </c>
      <c r="I3">
        <v>170144.91</v>
      </c>
      <c r="J3">
        <v>14.21</v>
      </c>
      <c r="K3" t="s">
        <v>16</v>
      </c>
      <c r="L3" t="s">
        <v>17</v>
      </c>
      <c r="M3" t="s">
        <v>18</v>
      </c>
    </row>
    <row r="4" spans="1:19" x14ac:dyDescent="0.3">
      <c r="A4" t="s">
        <v>12</v>
      </c>
      <c r="B4" t="s">
        <v>13</v>
      </c>
      <c r="C4" t="s">
        <v>14</v>
      </c>
      <c r="D4">
        <v>2024</v>
      </c>
      <c r="E4" t="s">
        <v>20</v>
      </c>
      <c r="F4">
        <v>610879</v>
      </c>
      <c r="G4">
        <v>35</v>
      </c>
      <c r="H4">
        <f>SalesData[[#This Row],[Sales Amount]]*SalesData[[#This Row],[Quantity Sold]]</f>
        <v>21380765</v>
      </c>
      <c r="I4">
        <v>70795.91</v>
      </c>
      <c r="J4">
        <v>11.59</v>
      </c>
      <c r="K4" t="s">
        <v>21</v>
      </c>
      <c r="L4" t="s">
        <v>22</v>
      </c>
      <c r="M4" t="s">
        <v>23</v>
      </c>
    </row>
    <row r="5" spans="1:19" x14ac:dyDescent="0.3">
      <c r="A5" t="s">
        <v>24</v>
      </c>
      <c r="B5" t="s">
        <v>25</v>
      </c>
      <c r="C5" t="s">
        <v>26</v>
      </c>
      <c r="D5">
        <v>2023</v>
      </c>
      <c r="E5" t="s">
        <v>20</v>
      </c>
      <c r="F5">
        <v>814886</v>
      </c>
      <c r="G5">
        <v>38</v>
      </c>
      <c r="H5">
        <f>SalesData[[#This Row],[Sales Amount]]*SalesData[[#This Row],[Quantity Sold]]</f>
        <v>30965668</v>
      </c>
      <c r="I5">
        <v>190484.32</v>
      </c>
      <c r="J5">
        <v>23.38</v>
      </c>
      <c r="K5" t="s">
        <v>27</v>
      </c>
      <c r="L5" t="s">
        <v>22</v>
      </c>
      <c r="M5" t="s">
        <v>28</v>
      </c>
    </row>
    <row r="6" spans="1:19" x14ac:dyDescent="0.3">
      <c r="A6" t="s">
        <v>24</v>
      </c>
      <c r="B6" t="s">
        <v>25</v>
      </c>
      <c r="C6" t="s">
        <v>26</v>
      </c>
      <c r="D6">
        <v>2024</v>
      </c>
      <c r="E6" t="s">
        <v>29</v>
      </c>
      <c r="F6">
        <v>916812</v>
      </c>
      <c r="G6">
        <v>6</v>
      </c>
      <c r="H6">
        <f>SalesData[[#This Row],[Sales Amount]]*SalesData[[#This Row],[Quantity Sold]]</f>
        <v>5500872</v>
      </c>
      <c r="I6">
        <v>260207.43</v>
      </c>
      <c r="J6">
        <v>28.38</v>
      </c>
      <c r="K6" t="s">
        <v>27</v>
      </c>
      <c r="L6" t="s">
        <v>17</v>
      </c>
      <c r="M6" t="s">
        <v>23</v>
      </c>
    </row>
    <row r="7" spans="1:19" x14ac:dyDescent="0.3">
      <c r="A7" t="s">
        <v>12</v>
      </c>
      <c r="B7" t="s">
        <v>13</v>
      </c>
      <c r="C7" t="s">
        <v>14</v>
      </c>
      <c r="D7">
        <v>2023</v>
      </c>
      <c r="E7" t="s">
        <v>30</v>
      </c>
      <c r="F7">
        <v>468651</v>
      </c>
      <c r="G7">
        <v>20</v>
      </c>
      <c r="H7">
        <f>SalesData[[#This Row],[Sales Amount]]*SalesData[[#This Row],[Quantity Sold]]</f>
        <v>9373020</v>
      </c>
      <c r="I7">
        <v>127682.63</v>
      </c>
      <c r="J7">
        <v>27.24</v>
      </c>
      <c r="K7" t="s">
        <v>21</v>
      </c>
      <c r="L7" t="s">
        <v>22</v>
      </c>
      <c r="M7" t="s">
        <v>18</v>
      </c>
    </row>
    <row r="8" spans="1:19" x14ac:dyDescent="0.3">
      <c r="A8" t="s">
        <v>31</v>
      </c>
      <c r="B8" t="s">
        <v>32</v>
      </c>
      <c r="C8" t="s">
        <v>14</v>
      </c>
      <c r="D8">
        <v>2025</v>
      </c>
      <c r="E8" t="s">
        <v>33</v>
      </c>
      <c r="F8">
        <v>450022</v>
      </c>
      <c r="G8">
        <v>6</v>
      </c>
      <c r="H8">
        <f>SalesData[[#This Row],[Sales Amount]]*SalesData[[#This Row],[Quantity Sold]]</f>
        <v>2700132</v>
      </c>
      <c r="I8">
        <v>78638.720000000001</v>
      </c>
      <c r="J8">
        <v>17.47</v>
      </c>
      <c r="K8" t="s">
        <v>27</v>
      </c>
      <c r="L8" t="s">
        <v>17</v>
      </c>
      <c r="M8" t="s">
        <v>18</v>
      </c>
    </row>
    <row r="9" spans="1:19" x14ac:dyDescent="0.3">
      <c r="A9" t="s">
        <v>24</v>
      </c>
      <c r="B9" t="s">
        <v>25</v>
      </c>
      <c r="C9" t="s">
        <v>26</v>
      </c>
      <c r="D9">
        <v>2024</v>
      </c>
      <c r="E9" t="s">
        <v>34</v>
      </c>
      <c r="F9">
        <v>1030077</v>
      </c>
      <c r="G9">
        <v>5</v>
      </c>
      <c r="H9">
        <f>SalesData[[#This Row],[Sales Amount]]*SalesData[[#This Row],[Quantity Sold]]</f>
        <v>5150385</v>
      </c>
      <c r="I9">
        <v>200283.39</v>
      </c>
      <c r="J9">
        <v>19.440000000000001</v>
      </c>
      <c r="K9" t="s">
        <v>27</v>
      </c>
      <c r="L9" t="s">
        <v>22</v>
      </c>
      <c r="M9" t="s">
        <v>23</v>
      </c>
    </row>
    <row r="10" spans="1:19" x14ac:dyDescent="0.3">
      <c r="A10" t="s">
        <v>35</v>
      </c>
      <c r="B10" t="s">
        <v>36</v>
      </c>
      <c r="C10" t="s">
        <v>37</v>
      </c>
      <c r="D10">
        <v>2024</v>
      </c>
      <c r="E10" t="s">
        <v>38</v>
      </c>
      <c r="F10">
        <v>1079129</v>
      </c>
      <c r="G10">
        <v>25</v>
      </c>
      <c r="H10">
        <f>SalesData[[#This Row],[Sales Amount]]*SalesData[[#This Row],[Quantity Sold]]</f>
        <v>26978225</v>
      </c>
      <c r="I10">
        <v>106289.41</v>
      </c>
      <c r="J10">
        <v>9.85</v>
      </c>
      <c r="K10" t="s">
        <v>27</v>
      </c>
      <c r="L10" t="s">
        <v>17</v>
      </c>
      <c r="M10" t="s">
        <v>18</v>
      </c>
    </row>
    <row r="11" spans="1:19" x14ac:dyDescent="0.3">
      <c r="A11" t="s">
        <v>39</v>
      </c>
      <c r="B11" t="s">
        <v>40</v>
      </c>
      <c r="C11" t="s">
        <v>26</v>
      </c>
      <c r="D11">
        <v>2024</v>
      </c>
      <c r="E11" t="s">
        <v>41</v>
      </c>
      <c r="F11">
        <v>1240686</v>
      </c>
      <c r="G11">
        <v>31</v>
      </c>
      <c r="H11">
        <f>SalesData[[#This Row],[Sales Amount]]*SalesData[[#This Row],[Quantity Sold]]</f>
        <v>38461266</v>
      </c>
      <c r="I11">
        <v>104318.24</v>
      </c>
      <c r="J11">
        <v>8.41</v>
      </c>
      <c r="K11" t="s">
        <v>16</v>
      </c>
      <c r="L11" t="s">
        <v>22</v>
      </c>
      <c r="M11" t="s">
        <v>28</v>
      </c>
    </row>
    <row r="12" spans="1:19" x14ac:dyDescent="0.3">
      <c r="A12" t="s">
        <v>31</v>
      </c>
      <c r="B12" t="s">
        <v>32</v>
      </c>
      <c r="C12" t="s">
        <v>14</v>
      </c>
      <c r="D12">
        <v>2023</v>
      </c>
      <c r="E12" t="s">
        <v>42</v>
      </c>
      <c r="F12">
        <v>617591</v>
      </c>
      <c r="G12">
        <v>27</v>
      </c>
      <c r="H12">
        <f>SalesData[[#This Row],[Sales Amount]]*SalesData[[#This Row],[Quantity Sold]]</f>
        <v>16674957</v>
      </c>
      <c r="I12">
        <v>133780.14000000001</v>
      </c>
      <c r="J12">
        <v>21.66</v>
      </c>
      <c r="K12" t="s">
        <v>43</v>
      </c>
      <c r="L12" t="s">
        <v>17</v>
      </c>
      <c r="M12" t="s">
        <v>23</v>
      </c>
    </row>
    <row r="13" spans="1:19" x14ac:dyDescent="0.3">
      <c r="A13" t="s">
        <v>44</v>
      </c>
      <c r="B13" t="s">
        <v>45</v>
      </c>
      <c r="C13" t="s">
        <v>37</v>
      </c>
      <c r="D13">
        <v>2025</v>
      </c>
      <c r="E13" t="s">
        <v>33</v>
      </c>
      <c r="F13">
        <v>301636</v>
      </c>
      <c r="G13">
        <v>44</v>
      </c>
      <c r="H13">
        <f>SalesData[[#This Row],[Sales Amount]]*SalesData[[#This Row],[Quantity Sold]]</f>
        <v>13271984</v>
      </c>
      <c r="I13">
        <v>41210.879999999997</v>
      </c>
      <c r="J13">
        <v>13.66</v>
      </c>
      <c r="K13" t="s">
        <v>27</v>
      </c>
      <c r="L13" t="s">
        <v>17</v>
      </c>
      <c r="M13" t="s">
        <v>28</v>
      </c>
    </row>
    <row r="14" spans="1:19" x14ac:dyDescent="0.3">
      <c r="A14" t="s">
        <v>46</v>
      </c>
      <c r="B14" t="s">
        <v>47</v>
      </c>
      <c r="C14" t="s">
        <v>14</v>
      </c>
      <c r="D14">
        <v>2023</v>
      </c>
      <c r="E14" t="s">
        <v>15</v>
      </c>
      <c r="F14">
        <v>1362926</v>
      </c>
      <c r="G14">
        <v>39</v>
      </c>
      <c r="H14">
        <f>SalesData[[#This Row],[Sales Amount]]*SalesData[[#This Row],[Quantity Sold]]</f>
        <v>53154114</v>
      </c>
      <c r="I14">
        <v>173088.48</v>
      </c>
      <c r="J14">
        <v>12.7</v>
      </c>
      <c r="K14" t="s">
        <v>21</v>
      </c>
      <c r="L14" t="s">
        <v>17</v>
      </c>
      <c r="M14" t="s">
        <v>23</v>
      </c>
    </row>
    <row r="15" spans="1:19" x14ac:dyDescent="0.3">
      <c r="A15" t="s">
        <v>46</v>
      </c>
      <c r="B15" t="s">
        <v>47</v>
      </c>
      <c r="C15" t="s">
        <v>14</v>
      </c>
      <c r="D15">
        <v>2025</v>
      </c>
      <c r="E15" t="s">
        <v>34</v>
      </c>
      <c r="F15">
        <v>1166315</v>
      </c>
      <c r="G15">
        <v>5</v>
      </c>
      <c r="H15">
        <f>SalesData[[#This Row],[Sales Amount]]*SalesData[[#This Row],[Quantity Sold]]</f>
        <v>5831575</v>
      </c>
      <c r="I15">
        <v>122507.36</v>
      </c>
      <c r="J15">
        <v>10.5</v>
      </c>
      <c r="K15" t="s">
        <v>27</v>
      </c>
      <c r="L15" t="s">
        <v>22</v>
      </c>
      <c r="M15" t="s">
        <v>18</v>
      </c>
    </row>
    <row r="16" spans="1:19" x14ac:dyDescent="0.3">
      <c r="A16" t="s">
        <v>44</v>
      </c>
      <c r="B16" t="s">
        <v>45</v>
      </c>
      <c r="C16" t="s">
        <v>37</v>
      </c>
      <c r="D16">
        <v>2023</v>
      </c>
      <c r="E16" t="s">
        <v>19</v>
      </c>
      <c r="F16">
        <v>1019769</v>
      </c>
      <c r="G16">
        <v>33</v>
      </c>
      <c r="H16">
        <f>SalesData[[#This Row],[Sales Amount]]*SalesData[[#This Row],[Quantity Sold]]</f>
        <v>33652377</v>
      </c>
      <c r="I16">
        <v>122061.64</v>
      </c>
      <c r="J16">
        <v>11.97</v>
      </c>
      <c r="K16" t="s">
        <v>21</v>
      </c>
      <c r="L16" t="s">
        <v>22</v>
      </c>
      <c r="M16" t="s">
        <v>23</v>
      </c>
    </row>
    <row r="17" spans="1:13" x14ac:dyDescent="0.3">
      <c r="A17" t="s">
        <v>48</v>
      </c>
      <c r="B17" t="s">
        <v>49</v>
      </c>
      <c r="C17" t="s">
        <v>50</v>
      </c>
      <c r="D17">
        <v>2023</v>
      </c>
      <c r="E17" t="s">
        <v>19</v>
      </c>
      <c r="F17">
        <v>707520</v>
      </c>
      <c r="G17">
        <v>10</v>
      </c>
      <c r="H17">
        <f>SalesData[[#This Row],[Sales Amount]]*SalesData[[#This Row],[Quantity Sold]]</f>
        <v>7075200</v>
      </c>
      <c r="I17">
        <v>166400.51</v>
      </c>
      <c r="J17">
        <v>23.52</v>
      </c>
      <c r="K17" t="s">
        <v>16</v>
      </c>
      <c r="L17" t="s">
        <v>22</v>
      </c>
      <c r="M17" t="s">
        <v>23</v>
      </c>
    </row>
    <row r="18" spans="1:13" x14ac:dyDescent="0.3">
      <c r="A18" t="s">
        <v>35</v>
      </c>
      <c r="B18" t="s">
        <v>36</v>
      </c>
      <c r="C18" t="s">
        <v>37</v>
      </c>
      <c r="D18">
        <v>2023</v>
      </c>
      <c r="E18" t="s">
        <v>29</v>
      </c>
      <c r="F18">
        <v>898211</v>
      </c>
      <c r="G18">
        <v>33</v>
      </c>
      <c r="H18">
        <f>SalesData[[#This Row],[Sales Amount]]*SalesData[[#This Row],[Quantity Sold]]</f>
        <v>29640963</v>
      </c>
      <c r="I18">
        <v>173285.43</v>
      </c>
      <c r="J18">
        <v>19.29</v>
      </c>
      <c r="K18" t="s">
        <v>16</v>
      </c>
      <c r="L18" t="s">
        <v>17</v>
      </c>
      <c r="M18" t="s">
        <v>23</v>
      </c>
    </row>
    <row r="19" spans="1:13" x14ac:dyDescent="0.3">
      <c r="A19" t="s">
        <v>48</v>
      </c>
      <c r="B19" t="s">
        <v>49</v>
      </c>
      <c r="C19" t="s">
        <v>50</v>
      </c>
      <c r="D19">
        <v>2025</v>
      </c>
      <c r="E19" t="s">
        <v>51</v>
      </c>
      <c r="F19">
        <v>175185</v>
      </c>
      <c r="G19">
        <v>6</v>
      </c>
      <c r="H19">
        <f>SalesData[[#This Row],[Sales Amount]]*SalesData[[#This Row],[Quantity Sold]]</f>
        <v>1051110</v>
      </c>
      <c r="I19">
        <v>52155.06</v>
      </c>
      <c r="J19">
        <v>29.77</v>
      </c>
      <c r="K19" t="s">
        <v>27</v>
      </c>
      <c r="L19" t="s">
        <v>22</v>
      </c>
      <c r="M19" t="s">
        <v>18</v>
      </c>
    </row>
    <row r="20" spans="1:13" x14ac:dyDescent="0.3">
      <c r="A20" t="s">
        <v>24</v>
      </c>
      <c r="B20" t="s">
        <v>25</v>
      </c>
      <c r="C20" t="s">
        <v>26</v>
      </c>
      <c r="D20">
        <v>2025</v>
      </c>
      <c r="E20" t="s">
        <v>29</v>
      </c>
      <c r="F20">
        <v>1165760</v>
      </c>
      <c r="G20">
        <v>23</v>
      </c>
      <c r="H20">
        <f>SalesData[[#This Row],[Sales Amount]]*SalesData[[#This Row],[Quantity Sold]]</f>
        <v>26812480</v>
      </c>
      <c r="I20">
        <v>346765.22</v>
      </c>
      <c r="J20">
        <v>29.75</v>
      </c>
      <c r="K20" t="s">
        <v>27</v>
      </c>
      <c r="L20" t="s">
        <v>17</v>
      </c>
      <c r="M20" t="s">
        <v>23</v>
      </c>
    </row>
    <row r="21" spans="1:13" x14ac:dyDescent="0.3">
      <c r="A21" t="s">
        <v>44</v>
      </c>
      <c r="B21" t="s">
        <v>45</v>
      </c>
      <c r="C21" t="s">
        <v>37</v>
      </c>
      <c r="D21">
        <v>2024</v>
      </c>
      <c r="E21" t="s">
        <v>20</v>
      </c>
      <c r="F21">
        <v>797342</v>
      </c>
      <c r="G21">
        <v>7</v>
      </c>
      <c r="H21">
        <f>SalesData[[#This Row],[Sales Amount]]*SalesData[[#This Row],[Quantity Sold]]</f>
        <v>5581394</v>
      </c>
      <c r="I21">
        <v>156490.42000000001</v>
      </c>
      <c r="J21">
        <v>19.63</v>
      </c>
      <c r="K21" t="s">
        <v>21</v>
      </c>
      <c r="L21" t="s">
        <v>22</v>
      </c>
      <c r="M21" t="s">
        <v>28</v>
      </c>
    </row>
    <row r="22" spans="1:13" x14ac:dyDescent="0.3">
      <c r="A22" t="s">
        <v>44</v>
      </c>
      <c r="B22" t="s">
        <v>45</v>
      </c>
      <c r="C22" t="s">
        <v>37</v>
      </c>
      <c r="D22">
        <v>2025</v>
      </c>
      <c r="E22" t="s">
        <v>30</v>
      </c>
      <c r="F22">
        <v>1278078</v>
      </c>
      <c r="G22">
        <v>28</v>
      </c>
      <c r="H22">
        <f>SalesData[[#This Row],[Sales Amount]]*SalesData[[#This Row],[Quantity Sold]]</f>
        <v>35786184</v>
      </c>
      <c r="I22">
        <v>208686.02</v>
      </c>
      <c r="J22">
        <v>16.329999999999998</v>
      </c>
      <c r="K22" t="s">
        <v>43</v>
      </c>
      <c r="L22" t="s">
        <v>17</v>
      </c>
      <c r="M22" t="s">
        <v>23</v>
      </c>
    </row>
    <row r="23" spans="1:13" x14ac:dyDescent="0.3">
      <c r="A23" t="s">
        <v>31</v>
      </c>
      <c r="B23" t="s">
        <v>32</v>
      </c>
      <c r="C23" t="s">
        <v>14</v>
      </c>
      <c r="D23">
        <v>2023</v>
      </c>
      <c r="E23" t="s">
        <v>19</v>
      </c>
      <c r="F23">
        <v>184047</v>
      </c>
      <c r="G23">
        <v>28</v>
      </c>
      <c r="H23">
        <f>SalesData[[#This Row],[Sales Amount]]*SalesData[[#This Row],[Quantity Sold]]</f>
        <v>5153316</v>
      </c>
      <c r="I23">
        <v>44456.639999999999</v>
      </c>
      <c r="J23">
        <v>24.16</v>
      </c>
      <c r="K23" t="s">
        <v>43</v>
      </c>
      <c r="L23" t="s">
        <v>22</v>
      </c>
      <c r="M23" t="s">
        <v>18</v>
      </c>
    </row>
    <row r="24" spans="1:13" x14ac:dyDescent="0.3">
      <c r="A24" t="s">
        <v>24</v>
      </c>
      <c r="B24" t="s">
        <v>25</v>
      </c>
      <c r="C24" t="s">
        <v>26</v>
      </c>
      <c r="D24">
        <v>2024</v>
      </c>
      <c r="E24" t="s">
        <v>34</v>
      </c>
      <c r="F24">
        <v>1358191</v>
      </c>
      <c r="G24">
        <v>14</v>
      </c>
      <c r="H24">
        <f>SalesData[[#This Row],[Sales Amount]]*SalesData[[#This Row],[Quantity Sold]]</f>
        <v>19014674</v>
      </c>
      <c r="I24">
        <v>119993.14</v>
      </c>
      <c r="J24">
        <v>8.83</v>
      </c>
      <c r="K24" t="s">
        <v>27</v>
      </c>
      <c r="L24" t="s">
        <v>17</v>
      </c>
      <c r="M24" t="s">
        <v>18</v>
      </c>
    </row>
    <row r="25" spans="1:13" x14ac:dyDescent="0.3">
      <c r="A25" t="s">
        <v>46</v>
      </c>
      <c r="B25" t="s">
        <v>47</v>
      </c>
      <c r="C25" t="s">
        <v>14</v>
      </c>
      <c r="D25">
        <v>2025</v>
      </c>
      <c r="E25" t="s">
        <v>52</v>
      </c>
      <c r="F25">
        <v>704085</v>
      </c>
      <c r="G25">
        <v>46</v>
      </c>
      <c r="H25">
        <f>SalesData[[#This Row],[Sales Amount]]*SalesData[[#This Row],[Quantity Sold]]</f>
        <v>32387910</v>
      </c>
      <c r="I25">
        <v>136379.96</v>
      </c>
      <c r="J25">
        <v>19.37</v>
      </c>
      <c r="K25" t="s">
        <v>16</v>
      </c>
      <c r="L25" t="s">
        <v>17</v>
      </c>
      <c r="M25" t="s">
        <v>23</v>
      </c>
    </row>
    <row r="26" spans="1:13" x14ac:dyDescent="0.3">
      <c r="A26" t="s">
        <v>35</v>
      </c>
      <c r="B26" t="s">
        <v>36</v>
      </c>
      <c r="C26" t="s">
        <v>37</v>
      </c>
      <c r="D26">
        <v>2025</v>
      </c>
      <c r="E26" t="s">
        <v>41</v>
      </c>
      <c r="F26">
        <v>94739</v>
      </c>
      <c r="G26">
        <v>35</v>
      </c>
      <c r="H26">
        <f>SalesData[[#This Row],[Sales Amount]]*SalesData[[#This Row],[Quantity Sold]]</f>
        <v>3315865</v>
      </c>
      <c r="I26">
        <v>27979.49</v>
      </c>
      <c r="J26">
        <v>29.53</v>
      </c>
      <c r="K26" t="s">
        <v>43</v>
      </c>
      <c r="L26" t="s">
        <v>17</v>
      </c>
      <c r="M26" t="s">
        <v>18</v>
      </c>
    </row>
    <row r="27" spans="1:13" x14ac:dyDescent="0.3">
      <c r="A27" t="s">
        <v>24</v>
      </c>
      <c r="B27" t="s">
        <v>25</v>
      </c>
      <c r="C27" t="s">
        <v>26</v>
      </c>
      <c r="D27">
        <v>2025</v>
      </c>
      <c r="E27" t="s">
        <v>38</v>
      </c>
      <c r="F27">
        <v>79145</v>
      </c>
      <c r="G27">
        <v>42</v>
      </c>
      <c r="H27">
        <f>SalesData[[#This Row],[Sales Amount]]*SalesData[[#This Row],[Quantity Sold]]</f>
        <v>3324090</v>
      </c>
      <c r="I27">
        <v>12433.18</v>
      </c>
      <c r="J27">
        <v>15.71</v>
      </c>
      <c r="K27" t="s">
        <v>53</v>
      </c>
      <c r="L27" t="s">
        <v>17</v>
      </c>
      <c r="M27" t="s">
        <v>23</v>
      </c>
    </row>
    <row r="28" spans="1:13" x14ac:dyDescent="0.3">
      <c r="A28" t="s">
        <v>46</v>
      </c>
      <c r="B28" t="s">
        <v>47</v>
      </c>
      <c r="C28" t="s">
        <v>14</v>
      </c>
      <c r="D28">
        <v>2024</v>
      </c>
      <c r="E28" t="s">
        <v>38</v>
      </c>
      <c r="F28">
        <v>473233</v>
      </c>
      <c r="G28">
        <v>42</v>
      </c>
      <c r="H28">
        <f>SalesData[[#This Row],[Sales Amount]]*SalesData[[#This Row],[Quantity Sold]]</f>
        <v>19875786</v>
      </c>
      <c r="I28">
        <v>71700.14</v>
      </c>
      <c r="J28">
        <v>15.15</v>
      </c>
      <c r="K28" t="s">
        <v>27</v>
      </c>
      <c r="L28" t="s">
        <v>17</v>
      </c>
      <c r="M28" t="s">
        <v>23</v>
      </c>
    </row>
    <row r="29" spans="1:13" x14ac:dyDescent="0.3">
      <c r="A29" t="s">
        <v>24</v>
      </c>
      <c r="B29" t="s">
        <v>25</v>
      </c>
      <c r="C29" t="s">
        <v>26</v>
      </c>
      <c r="D29">
        <v>2024</v>
      </c>
      <c r="E29" t="s">
        <v>38</v>
      </c>
      <c r="F29">
        <v>264362</v>
      </c>
      <c r="G29">
        <v>29</v>
      </c>
      <c r="H29">
        <f>SalesData[[#This Row],[Sales Amount]]*SalesData[[#This Row],[Quantity Sold]]</f>
        <v>7666498</v>
      </c>
      <c r="I29">
        <v>54156.46</v>
      </c>
      <c r="J29">
        <v>20.49</v>
      </c>
      <c r="K29" t="s">
        <v>27</v>
      </c>
      <c r="L29" t="s">
        <v>22</v>
      </c>
      <c r="M29" t="s">
        <v>18</v>
      </c>
    </row>
    <row r="30" spans="1:13" x14ac:dyDescent="0.3">
      <c r="A30" t="s">
        <v>46</v>
      </c>
      <c r="B30" t="s">
        <v>47</v>
      </c>
      <c r="C30" t="s">
        <v>14</v>
      </c>
      <c r="D30">
        <v>2023</v>
      </c>
      <c r="E30" t="s">
        <v>38</v>
      </c>
      <c r="F30">
        <v>973857</v>
      </c>
      <c r="G30">
        <v>26</v>
      </c>
      <c r="H30">
        <f>SalesData[[#This Row],[Sales Amount]]*SalesData[[#This Row],[Quantity Sold]]</f>
        <v>25320282</v>
      </c>
      <c r="I30">
        <v>210579.08</v>
      </c>
      <c r="J30">
        <v>21.62</v>
      </c>
      <c r="K30" t="s">
        <v>27</v>
      </c>
      <c r="L30" t="s">
        <v>17</v>
      </c>
      <c r="M30" t="s">
        <v>23</v>
      </c>
    </row>
    <row r="31" spans="1:13" x14ac:dyDescent="0.3">
      <c r="A31" t="s">
        <v>35</v>
      </c>
      <c r="B31" t="s">
        <v>36</v>
      </c>
      <c r="C31" t="s">
        <v>37</v>
      </c>
      <c r="D31">
        <v>2025</v>
      </c>
      <c r="E31" t="s">
        <v>51</v>
      </c>
      <c r="F31">
        <v>801630</v>
      </c>
      <c r="G31">
        <v>23</v>
      </c>
      <c r="H31">
        <f>SalesData[[#This Row],[Sales Amount]]*SalesData[[#This Row],[Quantity Sold]]</f>
        <v>18437490</v>
      </c>
      <c r="I31">
        <v>117260.39</v>
      </c>
      <c r="J31">
        <v>14.63</v>
      </c>
      <c r="K31" t="s">
        <v>21</v>
      </c>
      <c r="L31" t="s">
        <v>22</v>
      </c>
      <c r="M31" t="s">
        <v>18</v>
      </c>
    </row>
    <row r="32" spans="1:13" x14ac:dyDescent="0.3">
      <c r="A32" t="s">
        <v>31</v>
      </c>
      <c r="B32" t="s">
        <v>32</v>
      </c>
      <c r="C32" t="s">
        <v>14</v>
      </c>
      <c r="D32">
        <v>2023</v>
      </c>
      <c r="E32" t="s">
        <v>19</v>
      </c>
      <c r="F32">
        <v>330000</v>
      </c>
      <c r="G32">
        <v>37</v>
      </c>
      <c r="H32">
        <f>SalesData[[#This Row],[Sales Amount]]*SalesData[[#This Row],[Quantity Sold]]</f>
        <v>12210000</v>
      </c>
      <c r="I32">
        <v>75485.91</v>
      </c>
      <c r="J32">
        <v>22.87</v>
      </c>
      <c r="K32" t="s">
        <v>27</v>
      </c>
      <c r="L32" t="s">
        <v>22</v>
      </c>
      <c r="M32" t="s">
        <v>23</v>
      </c>
    </row>
    <row r="33" spans="1:13" x14ac:dyDescent="0.3">
      <c r="A33" t="s">
        <v>12</v>
      </c>
      <c r="B33" t="s">
        <v>13</v>
      </c>
      <c r="C33" t="s">
        <v>14</v>
      </c>
      <c r="D33">
        <v>2023</v>
      </c>
      <c r="E33" t="s">
        <v>30</v>
      </c>
      <c r="F33">
        <v>1313128</v>
      </c>
      <c r="G33">
        <v>22</v>
      </c>
      <c r="H33">
        <f>SalesData[[#This Row],[Sales Amount]]*SalesData[[#This Row],[Quantity Sold]]</f>
        <v>28888816</v>
      </c>
      <c r="I33">
        <v>113732.52</v>
      </c>
      <c r="J33">
        <v>8.66</v>
      </c>
      <c r="K33" t="s">
        <v>53</v>
      </c>
      <c r="L33" t="s">
        <v>17</v>
      </c>
      <c r="M33" t="s">
        <v>23</v>
      </c>
    </row>
    <row r="34" spans="1:13" x14ac:dyDescent="0.3">
      <c r="A34" t="s">
        <v>12</v>
      </c>
      <c r="B34" t="s">
        <v>13</v>
      </c>
      <c r="C34" t="s">
        <v>14</v>
      </c>
      <c r="D34">
        <v>2025</v>
      </c>
      <c r="E34" t="s">
        <v>33</v>
      </c>
      <c r="F34">
        <v>656849</v>
      </c>
      <c r="G34">
        <v>14</v>
      </c>
      <c r="H34">
        <f>SalesData[[#This Row],[Sales Amount]]*SalesData[[#This Row],[Quantity Sold]]</f>
        <v>9195886</v>
      </c>
      <c r="I34">
        <v>135346.35</v>
      </c>
      <c r="J34">
        <v>20.61</v>
      </c>
      <c r="K34" t="s">
        <v>43</v>
      </c>
      <c r="L34" t="s">
        <v>17</v>
      </c>
      <c r="M34" t="s">
        <v>18</v>
      </c>
    </row>
    <row r="35" spans="1:13" x14ac:dyDescent="0.3">
      <c r="A35" t="s">
        <v>12</v>
      </c>
      <c r="B35" t="s">
        <v>13</v>
      </c>
      <c r="C35" t="s">
        <v>14</v>
      </c>
      <c r="D35">
        <v>2025</v>
      </c>
      <c r="E35" t="s">
        <v>34</v>
      </c>
      <c r="F35">
        <v>346743</v>
      </c>
      <c r="G35">
        <v>17</v>
      </c>
      <c r="H35">
        <f>SalesData[[#This Row],[Sales Amount]]*SalesData[[#This Row],[Quantity Sold]]</f>
        <v>5894631</v>
      </c>
      <c r="I35">
        <v>59227.45</v>
      </c>
      <c r="J35">
        <v>17.079999999999998</v>
      </c>
      <c r="K35" t="s">
        <v>27</v>
      </c>
      <c r="L35" t="s">
        <v>22</v>
      </c>
      <c r="M35" t="s">
        <v>28</v>
      </c>
    </row>
    <row r="36" spans="1:13" x14ac:dyDescent="0.3">
      <c r="A36" t="s">
        <v>35</v>
      </c>
      <c r="B36" t="s">
        <v>36</v>
      </c>
      <c r="C36" t="s">
        <v>37</v>
      </c>
      <c r="D36">
        <v>2024</v>
      </c>
      <c r="E36" t="s">
        <v>42</v>
      </c>
      <c r="F36">
        <v>1065995</v>
      </c>
      <c r="G36">
        <v>29</v>
      </c>
      <c r="H36">
        <f>SalesData[[#This Row],[Sales Amount]]*SalesData[[#This Row],[Quantity Sold]]</f>
        <v>30913855</v>
      </c>
      <c r="I36">
        <v>100495.34</v>
      </c>
      <c r="J36">
        <v>9.43</v>
      </c>
      <c r="K36" t="s">
        <v>53</v>
      </c>
      <c r="L36" t="s">
        <v>17</v>
      </c>
      <c r="M36" t="s">
        <v>18</v>
      </c>
    </row>
    <row r="37" spans="1:13" x14ac:dyDescent="0.3">
      <c r="A37" t="s">
        <v>35</v>
      </c>
      <c r="B37" t="s">
        <v>36</v>
      </c>
      <c r="C37" t="s">
        <v>37</v>
      </c>
      <c r="D37">
        <v>2025</v>
      </c>
      <c r="E37" t="s">
        <v>15</v>
      </c>
      <c r="F37">
        <v>161702</v>
      </c>
      <c r="G37">
        <v>4</v>
      </c>
      <c r="H37">
        <f>SalesData[[#This Row],[Sales Amount]]*SalesData[[#This Row],[Quantity Sold]]</f>
        <v>646808</v>
      </c>
      <c r="I37">
        <v>17666.22</v>
      </c>
      <c r="J37">
        <v>10.93</v>
      </c>
      <c r="K37" t="s">
        <v>27</v>
      </c>
      <c r="L37" t="s">
        <v>17</v>
      </c>
      <c r="M37" t="s">
        <v>23</v>
      </c>
    </row>
    <row r="38" spans="1:13" x14ac:dyDescent="0.3">
      <c r="A38" t="s">
        <v>48</v>
      </c>
      <c r="B38" t="s">
        <v>49</v>
      </c>
      <c r="C38" t="s">
        <v>50</v>
      </c>
      <c r="D38">
        <v>2023</v>
      </c>
      <c r="E38" t="s">
        <v>19</v>
      </c>
      <c r="F38">
        <v>1017173</v>
      </c>
      <c r="G38">
        <v>50</v>
      </c>
      <c r="H38">
        <f>SalesData[[#This Row],[Sales Amount]]*SalesData[[#This Row],[Quantity Sold]]</f>
        <v>50858650</v>
      </c>
      <c r="I38">
        <v>98831.84</v>
      </c>
      <c r="J38">
        <v>9.7200000000000006</v>
      </c>
      <c r="K38" t="s">
        <v>27</v>
      </c>
      <c r="L38" t="s">
        <v>17</v>
      </c>
      <c r="M38" t="s">
        <v>28</v>
      </c>
    </row>
    <row r="39" spans="1:13" x14ac:dyDescent="0.3">
      <c r="A39" t="s">
        <v>24</v>
      </c>
      <c r="B39" t="s">
        <v>25</v>
      </c>
      <c r="C39" t="s">
        <v>26</v>
      </c>
      <c r="D39">
        <v>2024</v>
      </c>
      <c r="E39" t="s">
        <v>51</v>
      </c>
      <c r="F39">
        <v>848707</v>
      </c>
      <c r="G39">
        <v>45</v>
      </c>
      <c r="H39">
        <f>SalesData[[#This Row],[Sales Amount]]*SalesData[[#This Row],[Quantity Sold]]</f>
        <v>38191815</v>
      </c>
      <c r="I39">
        <v>203874.73</v>
      </c>
      <c r="J39">
        <v>24.02</v>
      </c>
      <c r="K39" t="s">
        <v>27</v>
      </c>
      <c r="L39" t="s">
        <v>22</v>
      </c>
      <c r="M39" t="s">
        <v>18</v>
      </c>
    </row>
    <row r="40" spans="1:13" x14ac:dyDescent="0.3">
      <c r="A40" t="s">
        <v>39</v>
      </c>
      <c r="B40" t="s">
        <v>40</v>
      </c>
      <c r="C40" t="s">
        <v>26</v>
      </c>
      <c r="D40">
        <v>2024</v>
      </c>
      <c r="E40" t="s">
        <v>34</v>
      </c>
      <c r="F40">
        <v>1107583</v>
      </c>
      <c r="G40">
        <v>20</v>
      </c>
      <c r="H40">
        <f>SalesData[[#This Row],[Sales Amount]]*SalesData[[#This Row],[Quantity Sold]]</f>
        <v>22151660</v>
      </c>
      <c r="I40">
        <v>231158.02</v>
      </c>
      <c r="J40">
        <v>20.87</v>
      </c>
      <c r="K40" t="s">
        <v>16</v>
      </c>
      <c r="L40" t="s">
        <v>17</v>
      </c>
      <c r="M40" t="s">
        <v>23</v>
      </c>
    </row>
    <row r="41" spans="1:13" x14ac:dyDescent="0.3">
      <c r="A41" t="s">
        <v>31</v>
      </c>
      <c r="B41" t="s">
        <v>32</v>
      </c>
      <c r="C41" t="s">
        <v>14</v>
      </c>
      <c r="D41">
        <v>2024</v>
      </c>
      <c r="E41" t="s">
        <v>42</v>
      </c>
      <c r="F41">
        <v>88193</v>
      </c>
      <c r="G41">
        <v>47</v>
      </c>
      <c r="H41">
        <f>SalesData[[#This Row],[Sales Amount]]*SalesData[[#This Row],[Quantity Sold]]</f>
        <v>4145071</v>
      </c>
      <c r="I41">
        <v>12851.93</v>
      </c>
      <c r="J41">
        <v>14.57</v>
      </c>
      <c r="K41" t="s">
        <v>16</v>
      </c>
      <c r="L41" t="s">
        <v>17</v>
      </c>
      <c r="M41" t="s">
        <v>23</v>
      </c>
    </row>
    <row r="42" spans="1:13" x14ac:dyDescent="0.3">
      <c r="A42" t="s">
        <v>35</v>
      </c>
      <c r="B42" t="s">
        <v>36</v>
      </c>
      <c r="C42" t="s">
        <v>37</v>
      </c>
      <c r="D42">
        <v>2023</v>
      </c>
      <c r="E42" t="s">
        <v>33</v>
      </c>
      <c r="F42">
        <v>662872</v>
      </c>
      <c r="G42">
        <v>34</v>
      </c>
      <c r="H42">
        <f>SalesData[[#This Row],[Sales Amount]]*SalesData[[#This Row],[Quantity Sold]]</f>
        <v>22537648</v>
      </c>
      <c r="I42">
        <v>167126.24</v>
      </c>
      <c r="J42">
        <v>25.21</v>
      </c>
      <c r="K42" t="s">
        <v>43</v>
      </c>
      <c r="L42" t="s">
        <v>22</v>
      </c>
      <c r="M42" t="s">
        <v>18</v>
      </c>
    </row>
    <row r="43" spans="1:13" x14ac:dyDescent="0.3">
      <c r="A43" t="s">
        <v>31</v>
      </c>
      <c r="B43" t="s">
        <v>32</v>
      </c>
      <c r="C43" t="s">
        <v>14</v>
      </c>
      <c r="D43">
        <v>2023</v>
      </c>
      <c r="E43" t="s">
        <v>15</v>
      </c>
      <c r="F43">
        <v>829631</v>
      </c>
      <c r="G43">
        <v>28</v>
      </c>
      <c r="H43">
        <f>SalesData[[#This Row],[Sales Amount]]*SalesData[[#This Row],[Quantity Sold]]</f>
        <v>23229668</v>
      </c>
      <c r="I43">
        <v>114320.94</v>
      </c>
      <c r="J43">
        <v>13.78</v>
      </c>
      <c r="K43" t="s">
        <v>16</v>
      </c>
      <c r="L43" t="s">
        <v>22</v>
      </c>
      <c r="M43" t="s">
        <v>28</v>
      </c>
    </row>
    <row r="44" spans="1:13" x14ac:dyDescent="0.3">
      <c r="A44" t="s">
        <v>31</v>
      </c>
      <c r="B44" t="s">
        <v>32</v>
      </c>
      <c r="C44" t="s">
        <v>14</v>
      </c>
      <c r="D44">
        <v>2024</v>
      </c>
      <c r="E44" t="s">
        <v>41</v>
      </c>
      <c r="F44">
        <v>491302</v>
      </c>
      <c r="G44">
        <v>23</v>
      </c>
      <c r="H44">
        <f>SalesData[[#This Row],[Sales Amount]]*SalesData[[#This Row],[Quantity Sold]]</f>
        <v>11299946</v>
      </c>
      <c r="I44">
        <v>52582.3</v>
      </c>
      <c r="J44">
        <v>10.7</v>
      </c>
      <c r="K44" t="s">
        <v>27</v>
      </c>
      <c r="L44" t="s">
        <v>17</v>
      </c>
      <c r="M44" t="s">
        <v>18</v>
      </c>
    </row>
    <row r="45" spans="1:13" x14ac:dyDescent="0.3">
      <c r="A45" t="s">
        <v>46</v>
      </c>
      <c r="B45" t="s">
        <v>47</v>
      </c>
      <c r="C45" t="s">
        <v>14</v>
      </c>
      <c r="D45">
        <v>2025</v>
      </c>
      <c r="E45" t="s">
        <v>34</v>
      </c>
      <c r="F45">
        <v>907850</v>
      </c>
      <c r="G45">
        <v>27</v>
      </c>
      <c r="H45">
        <f>SalesData[[#This Row],[Sales Amount]]*SalesData[[#This Row],[Quantity Sold]]</f>
        <v>24511950</v>
      </c>
      <c r="I45">
        <v>90809.87</v>
      </c>
      <c r="J45">
        <v>10</v>
      </c>
      <c r="K45" t="s">
        <v>21</v>
      </c>
      <c r="L45" t="s">
        <v>22</v>
      </c>
      <c r="M45" t="s">
        <v>28</v>
      </c>
    </row>
    <row r="46" spans="1:13" x14ac:dyDescent="0.3">
      <c r="A46" t="s">
        <v>24</v>
      </c>
      <c r="B46" t="s">
        <v>25</v>
      </c>
      <c r="C46" t="s">
        <v>26</v>
      </c>
      <c r="D46">
        <v>2024</v>
      </c>
      <c r="E46" t="s">
        <v>34</v>
      </c>
      <c r="F46">
        <v>913399</v>
      </c>
      <c r="G46">
        <v>40</v>
      </c>
      <c r="H46">
        <f>SalesData[[#This Row],[Sales Amount]]*SalesData[[#This Row],[Quantity Sold]]</f>
        <v>36535960</v>
      </c>
      <c r="I46">
        <v>229064.87</v>
      </c>
      <c r="J46">
        <v>25.08</v>
      </c>
      <c r="K46" t="s">
        <v>16</v>
      </c>
      <c r="L46" t="s">
        <v>22</v>
      </c>
      <c r="M46" t="s">
        <v>28</v>
      </c>
    </row>
    <row r="47" spans="1:13" x14ac:dyDescent="0.3">
      <c r="A47" t="s">
        <v>24</v>
      </c>
      <c r="B47" t="s">
        <v>25</v>
      </c>
      <c r="C47" t="s">
        <v>26</v>
      </c>
      <c r="D47">
        <v>2024</v>
      </c>
      <c r="E47" t="s">
        <v>51</v>
      </c>
      <c r="F47">
        <v>161907</v>
      </c>
      <c r="G47">
        <v>10</v>
      </c>
      <c r="H47">
        <f>SalesData[[#This Row],[Sales Amount]]*SalesData[[#This Row],[Quantity Sold]]</f>
        <v>1619070</v>
      </c>
      <c r="I47">
        <v>21242.15</v>
      </c>
      <c r="J47">
        <v>13.12</v>
      </c>
      <c r="K47" t="s">
        <v>27</v>
      </c>
      <c r="L47" t="s">
        <v>22</v>
      </c>
      <c r="M47" t="s">
        <v>23</v>
      </c>
    </row>
    <row r="48" spans="1:13" x14ac:dyDescent="0.3">
      <c r="A48" t="s">
        <v>24</v>
      </c>
      <c r="B48" t="s">
        <v>25</v>
      </c>
      <c r="C48" t="s">
        <v>26</v>
      </c>
      <c r="D48">
        <v>2025</v>
      </c>
      <c r="E48" t="s">
        <v>19</v>
      </c>
      <c r="F48">
        <v>939683</v>
      </c>
      <c r="G48">
        <v>40</v>
      </c>
      <c r="H48">
        <f>SalesData[[#This Row],[Sales Amount]]*SalesData[[#This Row],[Quantity Sold]]</f>
        <v>37587320</v>
      </c>
      <c r="I48">
        <v>122750.95</v>
      </c>
      <c r="J48">
        <v>13.06</v>
      </c>
      <c r="K48" t="s">
        <v>53</v>
      </c>
      <c r="L48" t="s">
        <v>22</v>
      </c>
      <c r="M48" t="s">
        <v>18</v>
      </c>
    </row>
    <row r="49" spans="1:13" x14ac:dyDescent="0.3">
      <c r="A49" t="s">
        <v>39</v>
      </c>
      <c r="B49" t="s">
        <v>40</v>
      </c>
      <c r="C49" t="s">
        <v>26</v>
      </c>
      <c r="D49">
        <v>2023</v>
      </c>
      <c r="E49" t="s">
        <v>30</v>
      </c>
      <c r="F49">
        <v>1274293</v>
      </c>
      <c r="G49">
        <v>27</v>
      </c>
      <c r="H49">
        <f>SalesData[[#This Row],[Sales Amount]]*SalesData[[#This Row],[Quantity Sold]]</f>
        <v>34405911</v>
      </c>
      <c r="I49">
        <v>114161.42</v>
      </c>
      <c r="J49">
        <v>8.9600000000000009</v>
      </c>
      <c r="K49" t="s">
        <v>27</v>
      </c>
      <c r="L49" t="s">
        <v>22</v>
      </c>
      <c r="M49" t="s">
        <v>28</v>
      </c>
    </row>
    <row r="50" spans="1:13" x14ac:dyDescent="0.3">
      <c r="A50" t="s">
        <v>39</v>
      </c>
      <c r="B50" t="s">
        <v>40</v>
      </c>
      <c r="C50" t="s">
        <v>26</v>
      </c>
      <c r="D50">
        <v>2023</v>
      </c>
      <c r="E50" t="s">
        <v>42</v>
      </c>
      <c r="F50">
        <v>1143589</v>
      </c>
      <c r="G50">
        <v>14</v>
      </c>
      <c r="H50">
        <f>SalesData[[#This Row],[Sales Amount]]*SalesData[[#This Row],[Quantity Sold]]</f>
        <v>16010246</v>
      </c>
      <c r="I50">
        <v>152825.57</v>
      </c>
      <c r="J50">
        <v>13.36</v>
      </c>
      <c r="K50" t="s">
        <v>21</v>
      </c>
      <c r="L50" t="s">
        <v>22</v>
      </c>
      <c r="M50" t="s">
        <v>23</v>
      </c>
    </row>
    <row r="51" spans="1:13" x14ac:dyDescent="0.3">
      <c r="A51" t="s">
        <v>39</v>
      </c>
      <c r="B51" t="s">
        <v>40</v>
      </c>
      <c r="C51" t="s">
        <v>26</v>
      </c>
      <c r="D51">
        <v>2024</v>
      </c>
      <c r="E51" t="s">
        <v>30</v>
      </c>
      <c r="F51">
        <v>251116</v>
      </c>
      <c r="G51">
        <v>17</v>
      </c>
      <c r="H51">
        <f>SalesData[[#This Row],[Sales Amount]]*SalesData[[#This Row],[Quantity Sold]]</f>
        <v>4268972</v>
      </c>
      <c r="I51">
        <v>28591.87</v>
      </c>
      <c r="J51">
        <v>11.39</v>
      </c>
      <c r="K51" t="s">
        <v>43</v>
      </c>
      <c r="L51" t="s">
        <v>22</v>
      </c>
      <c r="M51" t="s">
        <v>18</v>
      </c>
    </row>
    <row r="52" spans="1:13" x14ac:dyDescent="0.3">
      <c r="A52" t="s">
        <v>46</v>
      </c>
      <c r="B52" t="s">
        <v>47</v>
      </c>
      <c r="C52" t="s">
        <v>14</v>
      </c>
      <c r="D52">
        <v>2023</v>
      </c>
      <c r="E52" t="s">
        <v>30</v>
      </c>
      <c r="F52">
        <v>157189</v>
      </c>
      <c r="G52">
        <v>43</v>
      </c>
      <c r="H52">
        <f>SalesData[[#This Row],[Sales Amount]]*SalesData[[#This Row],[Quantity Sold]]</f>
        <v>6759127</v>
      </c>
      <c r="I52">
        <v>19560.13</v>
      </c>
      <c r="J52">
        <v>12.44</v>
      </c>
      <c r="K52" t="s">
        <v>43</v>
      </c>
      <c r="L52" t="s">
        <v>22</v>
      </c>
      <c r="M52" t="s">
        <v>23</v>
      </c>
    </row>
    <row r="53" spans="1:13" x14ac:dyDescent="0.3">
      <c r="A53" t="s">
        <v>39</v>
      </c>
      <c r="B53" t="s">
        <v>40</v>
      </c>
      <c r="C53" t="s">
        <v>26</v>
      </c>
      <c r="D53">
        <v>2024</v>
      </c>
      <c r="E53" t="s">
        <v>38</v>
      </c>
      <c r="F53">
        <v>917887</v>
      </c>
      <c r="G53">
        <v>20</v>
      </c>
      <c r="H53">
        <f>SalesData[[#This Row],[Sales Amount]]*SalesData[[#This Row],[Quantity Sold]]</f>
        <v>18357740</v>
      </c>
      <c r="I53">
        <v>73466.570000000007</v>
      </c>
      <c r="J53">
        <v>8</v>
      </c>
      <c r="K53" t="s">
        <v>21</v>
      </c>
      <c r="L53" t="s">
        <v>17</v>
      </c>
      <c r="M53" t="s">
        <v>28</v>
      </c>
    </row>
    <row r="54" spans="1:13" x14ac:dyDescent="0.3">
      <c r="A54" t="s">
        <v>48</v>
      </c>
      <c r="B54" t="s">
        <v>49</v>
      </c>
      <c r="C54" t="s">
        <v>50</v>
      </c>
      <c r="D54">
        <v>2023</v>
      </c>
      <c r="E54" t="s">
        <v>33</v>
      </c>
      <c r="F54">
        <v>997987</v>
      </c>
      <c r="G54">
        <v>2</v>
      </c>
      <c r="H54">
        <f>SalesData[[#This Row],[Sales Amount]]*SalesData[[#This Row],[Quantity Sold]]</f>
        <v>1995974</v>
      </c>
      <c r="I54">
        <v>183748.78</v>
      </c>
      <c r="J54">
        <v>18.41</v>
      </c>
      <c r="K54" t="s">
        <v>43</v>
      </c>
      <c r="L54" t="s">
        <v>22</v>
      </c>
      <c r="M54" t="s">
        <v>23</v>
      </c>
    </row>
    <row r="55" spans="1:13" x14ac:dyDescent="0.3">
      <c r="A55" t="s">
        <v>46</v>
      </c>
      <c r="B55" t="s">
        <v>47</v>
      </c>
      <c r="C55" t="s">
        <v>14</v>
      </c>
      <c r="D55">
        <v>2025</v>
      </c>
      <c r="E55" t="s">
        <v>33</v>
      </c>
      <c r="F55">
        <v>1063030</v>
      </c>
      <c r="G55">
        <v>20</v>
      </c>
      <c r="H55">
        <f>SalesData[[#This Row],[Sales Amount]]*SalesData[[#This Row],[Quantity Sold]]</f>
        <v>21260600</v>
      </c>
      <c r="I55">
        <v>187866.32</v>
      </c>
      <c r="J55">
        <v>17.670000000000002</v>
      </c>
      <c r="K55" t="s">
        <v>43</v>
      </c>
      <c r="L55" t="s">
        <v>22</v>
      </c>
      <c r="M55" t="s">
        <v>18</v>
      </c>
    </row>
    <row r="56" spans="1:13" x14ac:dyDescent="0.3">
      <c r="A56" t="s">
        <v>44</v>
      </c>
      <c r="B56" t="s">
        <v>45</v>
      </c>
      <c r="C56" t="s">
        <v>37</v>
      </c>
      <c r="D56">
        <v>2023</v>
      </c>
      <c r="E56" t="s">
        <v>29</v>
      </c>
      <c r="F56">
        <v>243632</v>
      </c>
      <c r="G56">
        <v>24</v>
      </c>
      <c r="H56">
        <f>SalesData[[#This Row],[Sales Amount]]*SalesData[[#This Row],[Quantity Sold]]</f>
        <v>5847168</v>
      </c>
      <c r="I56">
        <v>41458.75</v>
      </c>
      <c r="J56">
        <v>17.02</v>
      </c>
      <c r="K56" t="s">
        <v>16</v>
      </c>
      <c r="L56" t="s">
        <v>17</v>
      </c>
      <c r="M56" t="s">
        <v>23</v>
      </c>
    </row>
    <row r="57" spans="1:13" x14ac:dyDescent="0.3">
      <c r="A57" t="s">
        <v>44</v>
      </c>
      <c r="B57" t="s">
        <v>45</v>
      </c>
      <c r="C57" t="s">
        <v>37</v>
      </c>
      <c r="D57">
        <v>2025</v>
      </c>
      <c r="E57" t="s">
        <v>52</v>
      </c>
      <c r="F57">
        <v>1040204</v>
      </c>
      <c r="G57">
        <v>25</v>
      </c>
      <c r="H57">
        <f>SalesData[[#This Row],[Sales Amount]]*SalesData[[#This Row],[Quantity Sold]]</f>
        <v>26005100</v>
      </c>
      <c r="I57">
        <v>162756.96</v>
      </c>
      <c r="J57">
        <v>15.65</v>
      </c>
      <c r="K57" t="s">
        <v>53</v>
      </c>
      <c r="L57" t="s">
        <v>22</v>
      </c>
      <c r="M57" t="s">
        <v>18</v>
      </c>
    </row>
    <row r="58" spans="1:13" x14ac:dyDescent="0.3">
      <c r="A58" t="s">
        <v>24</v>
      </c>
      <c r="B58" t="s">
        <v>25</v>
      </c>
      <c r="C58" t="s">
        <v>26</v>
      </c>
      <c r="D58">
        <v>2023</v>
      </c>
      <c r="E58" t="s">
        <v>41</v>
      </c>
      <c r="F58">
        <v>740094</v>
      </c>
      <c r="G58">
        <v>34</v>
      </c>
      <c r="H58">
        <f>SalesData[[#This Row],[Sales Amount]]*SalesData[[#This Row],[Quantity Sold]]</f>
        <v>25163196</v>
      </c>
      <c r="I58">
        <v>219486.47</v>
      </c>
      <c r="J58">
        <v>29.66</v>
      </c>
      <c r="K58" t="s">
        <v>16</v>
      </c>
      <c r="L58" t="s">
        <v>22</v>
      </c>
      <c r="M58" t="s">
        <v>18</v>
      </c>
    </row>
    <row r="59" spans="1:13" x14ac:dyDescent="0.3">
      <c r="A59" t="s">
        <v>12</v>
      </c>
      <c r="B59" t="s">
        <v>13</v>
      </c>
      <c r="C59" t="s">
        <v>14</v>
      </c>
      <c r="D59">
        <v>2024</v>
      </c>
      <c r="E59" t="s">
        <v>42</v>
      </c>
      <c r="F59">
        <v>434562</v>
      </c>
      <c r="G59">
        <v>44</v>
      </c>
      <c r="H59">
        <f>SalesData[[#This Row],[Sales Amount]]*SalesData[[#This Row],[Quantity Sold]]</f>
        <v>19120728</v>
      </c>
      <c r="I59">
        <v>62339.87</v>
      </c>
      <c r="J59">
        <v>14.35</v>
      </c>
      <c r="K59" t="s">
        <v>43</v>
      </c>
      <c r="L59" t="s">
        <v>22</v>
      </c>
      <c r="M59" t="s">
        <v>23</v>
      </c>
    </row>
    <row r="60" spans="1:13" x14ac:dyDescent="0.3">
      <c r="A60" t="s">
        <v>31</v>
      </c>
      <c r="B60" t="s">
        <v>32</v>
      </c>
      <c r="C60" t="s">
        <v>14</v>
      </c>
      <c r="D60">
        <v>2025</v>
      </c>
      <c r="E60" t="s">
        <v>15</v>
      </c>
      <c r="F60">
        <v>1419450</v>
      </c>
      <c r="G60">
        <v>38</v>
      </c>
      <c r="H60">
        <f>SalesData[[#This Row],[Sales Amount]]*SalesData[[#This Row],[Quantity Sold]]</f>
        <v>53939100</v>
      </c>
      <c r="I60">
        <v>297348.2</v>
      </c>
      <c r="J60">
        <v>20.95</v>
      </c>
      <c r="K60" t="s">
        <v>16</v>
      </c>
      <c r="L60" t="s">
        <v>17</v>
      </c>
      <c r="M60" t="s">
        <v>23</v>
      </c>
    </row>
    <row r="61" spans="1:13" x14ac:dyDescent="0.3">
      <c r="A61" t="s">
        <v>48</v>
      </c>
      <c r="B61" t="s">
        <v>49</v>
      </c>
      <c r="C61" t="s">
        <v>50</v>
      </c>
      <c r="D61">
        <v>2023</v>
      </c>
      <c r="E61" t="s">
        <v>19</v>
      </c>
      <c r="F61">
        <v>1347344</v>
      </c>
      <c r="G61">
        <v>35</v>
      </c>
      <c r="H61">
        <f>SalesData[[#This Row],[Sales Amount]]*SalesData[[#This Row],[Quantity Sold]]</f>
        <v>47157040</v>
      </c>
      <c r="I61">
        <v>140137.10999999999</v>
      </c>
      <c r="J61">
        <v>10.4</v>
      </c>
      <c r="K61" t="s">
        <v>43</v>
      </c>
      <c r="L61" t="s">
        <v>17</v>
      </c>
      <c r="M61" t="s">
        <v>28</v>
      </c>
    </row>
    <row r="62" spans="1:13" x14ac:dyDescent="0.3">
      <c r="A62" t="s">
        <v>48</v>
      </c>
      <c r="B62" t="s">
        <v>49</v>
      </c>
      <c r="C62" t="s">
        <v>50</v>
      </c>
      <c r="D62">
        <v>2025</v>
      </c>
      <c r="E62" t="s">
        <v>30</v>
      </c>
      <c r="F62">
        <v>882333</v>
      </c>
      <c r="G62">
        <v>17</v>
      </c>
      <c r="H62">
        <f>SalesData[[#This Row],[Sales Amount]]*SalesData[[#This Row],[Quantity Sold]]</f>
        <v>14999661</v>
      </c>
      <c r="I62">
        <v>257948.71</v>
      </c>
      <c r="J62">
        <v>29.23</v>
      </c>
      <c r="K62" t="s">
        <v>21</v>
      </c>
      <c r="L62" t="s">
        <v>17</v>
      </c>
      <c r="M62" t="s">
        <v>18</v>
      </c>
    </row>
    <row r="63" spans="1:13" x14ac:dyDescent="0.3">
      <c r="A63" t="s">
        <v>35</v>
      </c>
      <c r="B63" t="s">
        <v>36</v>
      </c>
      <c r="C63" t="s">
        <v>37</v>
      </c>
      <c r="D63">
        <v>2023</v>
      </c>
      <c r="E63" t="s">
        <v>33</v>
      </c>
      <c r="F63">
        <v>606549</v>
      </c>
      <c r="G63">
        <v>37</v>
      </c>
      <c r="H63">
        <f>SalesData[[#This Row],[Sales Amount]]*SalesData[[#This Row],[Quantity Sold]]</f>
        <v>22442313</v>
      </c>
      <c r="I63">
        <v>58305.53</v>
      </c>
      <c r="J63">
        <v>9.61</v>
      </c>
      <c r="K63" t="s">
        <v>21</v>
      </c>
      <c r="L63" t="s">
        <v>22</v>
      </c>
      <c r="M63" t="s">
        <v>18</v>
      </c>
    </row>
    <row r="64" spans="1:13" x14ac:dyDescent="0.3">
      <c r="A64" t="s">
        <v>44</v>
      </c>
      <c r="B64" t="s">
        <v>45</v>
      </c>
      <c r="C64" t="s">
        <v>37</v>
      </c>
      <c r="D64">
        <v>2023</v>
      </c>
      <c r="E64" t="s">
        <v>30</v>
      </c>
      <c r="F64">
        <v>866316</v>
      </c>
      <c r="G64">
        <v>42</v>
      </c>
      <c r="H64">
        <f>SalesData[[#This Row],[Sales Amount]]*SalesData[[#This Row],[Quantity Sold]]</f>
        <v>36385272</v>
      </c>
      <c r="I64">
        <v>212201.56</v>
      </c>
      <c r="J64">
        <v>24.49</v>
      </c>
      <c r="K64" t="s">
        <v>43</v>
      </c>
      <c r="L64" t="s">
        <v>17</v>
      </c>
      <c r="M64" t="s">
        <v>23</v>
      </c>
    </row>
    <row r="65" spans="1:13" x14ac:dyDescent="0.3">
      <c r="A65" t="s">
        <v>31</v>
      </c>
      <c r="B65" t="s">
        <v>32</v>
      </c>
      <c r="C65" t="s">
        <v>14</v>
      </c>
      <c r="D65">
        <v>2025</v>
      </c>
      <c r="E65" t="s">
        <v>20</v>
      </c>
      <c r="F65">
        <v>836798</v>
      </c>
      <c r="G65">
        <v>49</v>
      </c>
      <c r="H65">
        <f>SalesData[[#This Row],[Sales Amount]]*SalesData[[#This Row],[Quantity Sold]]</f>
        <v>41003102</v>
      </c>
      <c r="I65">
        <v>92330.25</v>
      </c>
      <c r="J65">
        <v>11.03</v>
      </c>
      <c r="K65" t="s">
        <v>21</v>
      </c>
      <c r="L65" t="s">
        <v>22</v>
      </c>
      <c r="M65" t="s">
        <v>23</v>
      </c>
    </row>
    <row r="66" spans="1:13" x14ac:dyDescent="0.3">
      <c r="A66" t="s">
        <v>48</v>
      </c>
      <c r="B66" t="s">
        <v>49</v>
      </c>
      <c r="C66" t="s">
        <v>50</v>
      </c>
      <c r="D66">
        <v>2025</v>
      </c>
      <c r="E66" t="s">
        <v>51</v>
      </c>
      <c r="F66">
        <v>107279</v>
      </c>
      <c r="G66">
        <v>19</v>
      </c>
      <c r="H66">
        <f>SalesData[[#This Row],[Sales Amount]]*SalesData[[#This Row],[Quantity Sold]]</f>
        <v>2038301</v>
      </c>
      <c r="I66">
        <v>23567.360000000001</v>
      </c>
      <c r="J66">
        <v>21.97</v>
      </c>
      <c r="K66" t="s">
        <v>16</v>
      </c>
      <c r="L66" t="s">
        <v>22</v>
      </c>
      <c r="M66" t="s">
        <v>18</v>
      </c>
    </row>
    <row r="67" spans="1:13" x14ac:dyDescent="0.3">
      <c r="A67" t="s">
        <v>12</v>
      </c>
      <c r="B67" t="s">
        <v>13</v>
      </c>
      <c r="C67" t="s">
        <v>14</v>
      </c>
      <c r="D67">
        <v>2023</v>
      </c>
      <c r="E67" t="s">
        <v>51</v>
      </c>
      <c r="F67">
        <v>1292190</v>
      </c>
      <c r="G67">
        <v>28</v>
      </c>
      <c r="H67">
        <f>SalesData[[#This Row],[Sales Amount]]*SalesData[[#This Row],[Quantity Sold]]</f>
        <v>36181320</v>
      </c>
      <c r="I67">
        <v>268167.26</v>
      </c>
      <c r="J67">
        <v>20.75</v>
      </c>
      <c r="K67" t="s">
        <v>21</v>
      </c>
      <c r="L67" t="s">
        <v>17</v>
      </c>
      <c r="M67" t="s">
        <v>23</v>
      </c>
    </row>
    <row r="68" spans="1:13" x14ac:dyDescent="0.3">
      <c r="A68" t="s">
        <v>12</v>
      </c>
      <c r="B68" t="s">
        <v>13</v>
      </c>
      <c r="C68" t="s">
        <v>14</v>
      </c>
      <c r="D68">
        <v>2024</v>
      </c>
      <c r="E68" t="s">
        <v>34</v>
      </c>
      <c r="F68">
        <v>1234547</v>
      </c>
      <c r="G68">
        <v>22</v>
      </c>
      <c r="H68">
        <f>SalesData[[#This Row],[Sales Amount]]*SalesData[[#This Row],[Quantity Sold]]</f>
        <v>27160034</v>
      </c>
      <c r="I68">
        <v>246151.29</v>
      </c>
      <c r="J68">
        <v>19.940000000000001</v>
      </c>
      <c r="K68" t="s">
        <v>21</v>
      </c>
      <c r="L68" t="s">
        <v>22</v>
      </c>
      <c r="M68" t="s">
        <v>18</v>
      </c>
    </row>
    <row r="69" spans="1:13" x14ac:dyDescent="0.3">
      <c r="A69" t="s">
        <v>12</v>
      </c>
      <c r="B69" t="s">
        <v>13</v>
      </c>
      <c r="C69" t="s">
        <v>14</v>
      </c>
      <c r="D69">
        <v>2023</v>
      </c>
      <c r="E69" t="s">
        <v>42</v>
      </c>
      <c r="F69">
        <v>448235</v>
      </c>
      <c r="G69">
        <v>38</v>
      </c>
      <c r="H69">
        <f>SalesData[[#This Row],[Sales Amount]]*SalesData[[#This Row],[Quantity Sold]]</f>
        <v>17032930</v>
      </c>
      <c r="I69">
        <v>80084.78</v>
      </c>
      <c r="J69">
        <v>17.87</v>
      </c>
      <c r="K69" t="s">
        <v>53</v>
      </c>
      <c r="L69" t="s">
        <v>17</v>
      </c>
      <c r="M69" t="s">
        <v>23</v>
      </c>
    </row>
    <row r="70" spans="1:13" x14ac:dyDescent="0.3">
      <c r="A70" t="s">
        <v>46</v>
      </c>
      <c r="B70" t="s">
        <v>47</v>
      </c>
      <c r="C70" t="s">
        <v>14</v>
      </c>
      <c r="D70">
        <v>2024</v>
      </c>
      <c r="E70" t="s">
        <v>52</v>
      </c>
      <c r="F70">
        <v>210423</v>
      </c>
      <c r="G70">
        <v>40</v>
      </c>
      <c r="H70">
        <f>SalesData[[#This Row],[Sales Amount]]*SalesData[[#This Row],[Quantity Sold]]</f>
        <v>8416920</v>
      </c>
      <c r="I70">
        <v>27570.89</v>
      </c>
      <c r="J70">
        <v>13.1</v>
      </c>
      <c r="K70" t="s">
        <v>43</v>
      </c>
      <c r="L70" t="s">
        <v>17</v>
      </c>
      <c r="M70" t="s">
        <v>23</v>
      </c>
    </row>
    <row r="71" spans="1:13" x14ac:dyDescent="0.3">
      <c r="A71" t="s">
        <v>48</v>
      </c>
      <c r="B71" t="s">
        <v>49</v>
      </c>
      <c r="C71" t="s">
        <v>50</v>
      </c>
      <c r="D71">
        <v>2023</v>
      </c>
      <c r="E71" t="s">
        <v>34</v>
      </c>
      <c r="F71">
        <v>398334</v>
      </c>
      <c r="G71">
        <v>45</v>
      </c>
      <c r="H71">
        <f>SalesData[[#This Row],[Sales Amount]]*SalesData[[#This Row],[Quantity Sold]]</f>
        <v>17925030</v>
      </c>
      <c r="I71">
        <v>51167.77</v>
      </c>
      <c r="J71">
        <v>12.85</v>
      </c>
      <c r="K71" t="s">
        <v>53</v>
      </c>
      <c r="L71" t="s">
        <v>22</v>
      </c>
      <c r="M71" t="s">
        <v>23</v>
      </c>
    </row>
    <row r="72" spans="1:13" x14ac:dyDescent="0.3">
      <c r="A72" t="s">
        <v>35</v>
      </c>
      <c r="B72" t="s">
        <v>36</v>
      </c>
      <c r="C72" t="s">
        <v>37</v>
      </c>
      <c r="D72">
        <v>2025</v>
      </c>
      <c r="E72" t="s">
        <v>33</v>
      </c>
      <c r="F72">
        <v>1171220</v>
      </c>
      <c r="G72">
        <v>9</v>
      </c>
      <c r="H72">
        <f>SalesData[[#This Row],[Sales Amount]]*SalesData[[#This Row],[Quantity Sold]]</f>
        <v>10540980</v>
      </c>
      <c r="I72">
        <v>233378.38</v>
      </c>
      <c r="J72">
        <v>19.93</v>
      </c>
      <c r="K72" t="s">
        <v>27</v>
      </c>
      <c r="L72" t="s">
        <v>17</v>
      </c>
      <c r="M72" t="s">
        <v>28</v>
      </c>
    </row>
    <row r="73" spans="1:13" x14ac:dyDescent="0.3">
      <c r="A73" t="s">
        <v>46</v>
      </c>
      <c r="B73" t="s">
        <v>47</v>
      </c>
      <c r="C73" t="s">
        <v>14</v>
      </c>
      <c r="D73">
        <v>2025</v>
      </c>
      <c r="E73" t="s">
        <v>29</v>
      </c>
      <c r="F73">
        <v>383298</v>
      </c>
      <c r="G73">
        <v>12</v>
      </c>
      <c r="H73">
        <f>SalesData[[#This Row],[Sales Amount]]*SalesData[[#This Row],[Quantity Sold]]</f>
        <v>4599576</v>
      </c>
      <c r="I73">
        <v>60137.21</v>
      </c>
      <c r="J73">
        <v>15.69</v>
      </c>
      <c r="K73" t="s">
        <v>16</v>
      </c>
      <c r="L73" t="s">
        <v>22</v>
      </c>
      <c r="M73" t="s">
        <v>23</v>
      </c>
    </row>
    <row r="74" spans="1:13" x14ac:dyDescent="0.3">
      <c r="A74" t="s">
        <v>31</v>
      </c>
      <c r="B74" t="s">
        <v>32</v>
      </c>
      <c r="C74" t="s">
        <v>14</v>
      </c>
      <c r="D74">
        <v>2025</v>
      </c>
      <c r="E74" t="s">
        <v>30</v>
      </c>
      <c r="F74">
        <v>570880</v>
      </c>
      <c r="G74">
        <v>36</v>
      </c>
      <c r="H74">
        <f>SalesData[[#This Row],[Sales Amount]]*SalesData[[#This Row],[Quantity Sold]]</f>
        <v>20551680</v>
      </c>
      <c r="I74">
        <v>48730.03</v>
      </c>
      <c r="J74">
        <v>8.5399999999999991</v>
      </c>
      <c r="K74" t="s">
        <v>16</v>
      </c>
      <c r="L74" t="s">
        <v>22</v>
      </c>
      <c r="M74" t="s">
        <v>18</v>
      </c>
    </row>
    <row r="75" spans="1:13" x14ac:dyDescent="0.3">
      <c r="A75" t="s">
        <v>39</v>
      </c>
      <c r="B75" t="s">
        <v>40</v>
      </c>
      <c r="C75" t="s">
        <v>26</v>
      </c>
      <c r="D75">
        <v>2025</v>
      </c>
      <c r="E75" t="s">
        <v>19</v>
      </c>
      <c r="F75">
        <v>1348613</v>
      </c>
      <c r="G75">
        <v>25</v>
      </c>
      <c r="H75">
        <f>SalesData[[#This Row],[Sales Amount]]*SalesData[[#This Row],[Quantity Sold]]</f>
        <v>33715325</v>
      </c>
      <c r="I75">
        <v>392465.99</v>
      </c>
      <c r="J75">
        <v>29.1</v>
      </c>
      <c r="K75" t="s">
        <v>27</v>
      </c>
      <c r="L75" t="s">
        <v>17</v>
      </c>
      <c r="M75" t="s">
        <v>23</v>
      </c>
    </row>
    <row r="76" spans="1:13" x14ac:dyDescent="0.3">
      <c r="A76" t="s">
        <v>39</v>
      </c>
      <c r="B76" t="s">
        <v>40</v>
      </c>
      <c r="C76" t="s">
        <v>26</v>
      </c>
      <c r="D76">
        <v>2024</v>
      </c>
      <c r="E76" t="s">
        <v>15</v>
      </c>
      <c r="F76">
        <v>1234008</v>
      </c>
      <c r="G76">
        <v>2</v>
      </c>
      <c r="H76">
        <f>SalesData[[#This Row],[Sales Amount]]*SalesData[[#This Row],[Quantity Sold]]</f>
        <v>2468016</v>
      </c>
      <c r="I76">
        <v>278089.59000000003</v>
      </c>
      <c r="J76">
        <v>22.54</v>
      </c>
      <c r="K76" t="s">
        <v>43</v>
      </c>
      <c r="L76" t="s">
        <v>17</v>
      </c>
      <c r="M76" t="s">
        <v>18</v>
      </c>
    </row>
    <row r="77" spans="1:13" x14ac:dyDescent="0.3">
      <c r="A77" t="s">
        <v>12</v>
      </c>
      <c r="B77" t="s">
        <v>13</v>
      </c>
      <c r="C77" t="s">
        <v>14</v>
      </c>
      <c r="D77">
        <v>2024</v>
      </c>
      <c r="E77" t="s">
        <v>38</v>
      </c>
      <c r="F77">
        <v>272446</v>
      </c>
      <c r="G77">
        <v>45</v>
      </c>
      <c r="H77">
        <f>SalesData[[#This Row],[Sales Amount]]*SalesData[[#This Row],[Quantity Sold]]</f>
        <v>12260070</v>
      </c>
      <c r="I77">
        <v>59298.38</v>
      </c>
      <c r="J77">
        <v>21.77</v>
      </c>
      <c r="K77" t="s">
        <v>43</v>
      </c>
      <c r="L77" t="s">
        <v>17</v>
      </c>
      <c r="M77" t="s">
        <v>18</v>
      </c>
    </row>
    <row r="78" spans="1:13" x14ac:dyDescent="0.3">
      <c r="A78" t="s">
        <v>12</v>
      </c>
      <c r="B78" t="s">
        <v>13</v>
      </c>
      <c r="C78" t="s">
        <v>14</v>
      </c>
      <c r="D78">
        <v>2025</v>
      </c>
      <c r="E78" t="s">
        <v>15</v>
      </c>
      <c r="F78">
        <v>1276452</v>
      </c>
      <c r="G78">
        <v>42</v>
      </c>
      <c r="H78">
        <f>SalesData[[#This Row],[Sales Amount]]*SalesData[[#This Row],[Quantity Sold]]</f>
        <v>53610984</v>
      </c>
      <c r="I78">
        <v>226609.76</v>
      </c>
      <c r="J78">
        <v>17.75</v>
      </c>
      <c r="K78" t="s">
        <v>16</v>
      </c>
      <c r="L78" t="s">
        <v>17</v>
      </c>
      <c r="M78" t="s">
        <v>28</v>
      </c>
    </row>
    <row r="79" spans="1:13" x14ac:dyDescent="0.3">
      <c r="A79" t="s">
        <v>46</v>
      </c>
      <c r="B79" t="s">
        <v>47</v>
      </c>
      <c r="C79" t="s">
        <v>14</v>
      </c>
      <c r="D79">
        <v>2025</v>
      </c>
      <c r="E79" t="s">
        <v>34</v>
      </c>
      <c r="F79">
        <v>1105787</v>
      </c>
      <c r="G79">
        <v>1</v>
      </c>
      <c r="H79">
        <f>SalesData[[#This Row],[Sales Amount]]*SalesData[[#This Row],[Quantity Sold]]</f>
        <v>1105787</v>
      </c>
      <c r="I79">
        <v>231688.51</v>
      </c>
      <c r="J79">
        <v>20.95</v>
      </c>
      <c r="K79" t="s">
        <v>16</v>
      </c>
      <c r="L79" t="s">
        <v>17</v>
      </c>
      <c r="M79" t="s">
        <v>28</v>
      </c>
    </row>
    <row r="80" spans="1:13" x14ac:dyDescent="0.3">
      <c r="A80" t="s">
        <v>44</v>
      </c>
      <c r="B80" t="s">
        <v>45</v>
      </c>
      <c r="C80" t="s">
        <v>37</v>
      </c>
      <c r="D80">
        <v>2025</v>
      </c>
      <c r="E80" t="s">
        <v>41</v>
      </c>
      <c r="F80">
        <v>1145368</v>
      </c>
      <c r="G80">
        <v>31</v>
      </c>
      <c r="H80">
        <f>SalesData[[#This Row],[Sales Amount]]*SalesData[[#This Row],[Quantity Sold]]</f>
        <v>35506408</v>
      </c>
      <c r="I80">
        <v>252827.03</v>
      </c>
      <c r="J80">
        <v>22.07</v>
      </c>
      <c r="K80" t="s">
        <v>53</v>
      </c>
      <c r="L80" t="s">
        <v>22</v>
      </c>
      <c r="M80" t="s">
        <v>28</v>
      </c>
    </row>
    <row r="81" spans="1:13" x14ac:dyDescent="0.3">
      <c r="A81" t="s">
        <v>12</v>
      </c>
      <c r="B81" t="s">
        <v>13</v>
      </c>
      <c r="C81" t="s">
        <v>14</v>
      </c>
      <c r="D81">
        <v>2024</v>
      </c>
      <c r="E81" t="s">
        <v>33</v>
      </c>
      <c r="F81">
        <v>710264</v>
      </c>
      <c r="G81">
        <v>25</v>
      </c>
      <c r="H81">
        <f>SalesData[[#This Row],[Sales Amount]]*SalesData[[#This Row],[Quantity Sold]]</f>
        <v>17756600</v>
      </c>
      <c r="I81">
        <v>181550.78</v>
      </c>
      <c r="J81">
        <v>25.56</v>
      </c>
      <c r="K81" t="s">
        <v>21</v>
      </c>
      <c r="L81" t="s">
        <v>17</v>
      </c>
      <c r="M81" t="s">
        <v>28</v>
      </c>
    </row>
    <row r="82" spans="1:13" x14ac:dyDescent="0.3">
      <c r="A82" t="s">
        <v>24</v>
      </c>
      <c r="B82" t="s">
        <v>25</v>
      </c>
      <c r="C82" t="s">
        <v>26</v>
      </c>
      <c r="D82">
        <v>2024</v>
      </c>
      <c r="E82" t="s">
        <v>42</v>
      </c>
      <c r="F82">
        <v>1288109</v>
      </c>
      <c r="G82">
        <v>13</v>
      </c>
      <c r="H82">
        <f>SalesData[[#This Row],[Sales Amount]]*SalesData[[#This Row],[Quantity Sold]]</f>
        <v>16745417</v>
      </c>
      <c r="I82">
        <v>295861.32</v>
      </c>
      <c r="J82">
        <v>22.97</v>
      </c>
      <c r="K82" t="s">
        <v>43</v>
      </c>
      <c r="L82" t="s">
        <v>22</v>
      </c>
      <c r="M82" t="s">
        <v>18</v>
      </c>
    </row>
    <row r="83" spans="1:13" x14ac:dyDescent="0.3">
      <c r="A83" t="s">
        <v>35</v>
      </c>
      <c r="B83" t="s">
        <v>36</v>
      </c>
      <c r="C83" t="s">
        <v>37</v>
      </c>
      <c r="D83">
        <v>2025</v>
      </c>
      <c r="E83" t="s">
        <v>34</v>
      </c>
      <c r="F83">
        <v>1236813</v>
      </c>
      <c r="G83">
        <v>33</v>
      </c>
      <c r="H83">
        <f>SalesData[[#This Row],[Sales Amount]]*SalesData[[#This Row],[Quantity Sold]]</f>
        <v>40814829</v>
      </c>
      <c r="I83">
        <v>296170.52</v>
      </c>
      <c r="J83">
        <v>23.95</v>
      </c>
      <c r="K83" t="s">
        <v>53</v>
      </c>
      <c r="L83" t="s">
        <v>22</v>
      </c>
      <c r="M83" t="s">
        <v>18</v>
      </c>
    </row>
    <row r="84" spans="1:13" x14ac:dyDescent="0.3">
      <c r="A84" t="s">
        <v>48</v>
      </c>
      <c r="B84" t="s">
        <v>49</v>
      </c>
      <c r="C84" t="s">
        <v>50</v>
      </c>
      <c r="D84">
        <v>2023</v>
      </c>
      <c r="E84" t="s">
        <v>33</v>
      </c>
      <c r="F84">
        <v>1019117</v>
      </c>
      <c r="G84">
        <v>49</v>
      </c>
      <c r="H84">
        <f>SalesData[[#This Row],[Sales Amount]]*SalesData[[#This Row],[Quantity Sold]]</f>
        <v>49936733</v>
      </c>
      <c r="I84">
        <v>280491</v>
      </c>
      <c r="J84">
        <v>27.52</v>
      </c>
      <c r="K84" t="s">
        <v>16</v>
      </c>
      <c r="L84" t="s">
        <v>22</v>
      </c>
      <c r="M84" t="s">
        <v>28</v>
      </c>
    </row>
    <row r="85" spans="1:13" x14ac:dyDescent="0.3">
      <c r="A85" t="s">
        <v>24</v>
      </c>
      <c r="B85" t="s">
        <v>25</v>
      </c>
      <c r="C85" t="s">
        <v>26</v>
      </c>
      <c r="D85">
        <v>2024</v>
      </c>
      <c r="E85" t="s">
        <v>51</v>
      </c>
      <c r="F85">
        <v>1080888</v>
      </c>
      <c r="G85">
        <v>49</v>
      </c>
      <c r="H85">
        <f>SalesData[[#This Row],[Sales Amount]]*SalesData[[#This Row],[Quantity Sold]]</f>
        <v>52963512</v>
      </c>
      <c r="I85">
        <v>270243.15000000002</v>
      </c>
      <c r="J85">
        <v>25</v>
      </c>
      <c r="K85" t="s">
        <v>27</v>
      </c>
      <c r="L85" t="s">
        <v>17</v>
      </c>
      <c r="M85" t="s">
        <v>18</v>
      </c>
    </row>
    <row r="86" spans="1:13" x14ac:dyDescent="0.3">
      <c r="A86" t="s">
        <v>12</v>
      </c>
      <c r="B86" t="s">
        <v>13</v>
      </c>
      <c r="C86" t="s">
        <v>14</v>
      </c>
      <c r="D86">
        <v>2025</v>
      </c>
      <c r="E86" t="s">
        <v>42</v>
      </c>
      <c r="F86">
        <v>1484022</v>
      </c>
      <c r="G86">
        <v>11</v>
      </c>
      <c r="H86">
        <f>SalesData[[#This Row],[Sales Amount]]*SalesData[[#This Row],[Quantity Sold]]</f>
        <v>16324242</v>
      </c>
      <c r="I86">
        <v>341611.01</v>
      </c>
      <c r="J86">
        <v>23.02</v>
      </c>
      <c r="K86" t="s">
        <v>16</v>
      </c>
      <c r="L86" t="s">
        <v>22</v>
      </c>
      <c r="M86" t="s">
        <v>28</v>
      </c>
    </row>
    <row r="87" spans="1:13" x14ac:dyDescent="0.3">
      <c r="A87" t="s">
        <v>39</v>
      </c>
      <c r="B87" t="s">
        <v>40</v>
      </c>
      <c r="C87" t="s">
        <v>26</v>
      </c>
      <c r="D87">
        <v>2023</v>
      </c>
      <c r="E87" t="s">
        <v>33</v>
      </c>
      <c r="F87">
        <v>172144</v>
      </c>
      <c r="G87">
        <v>22</v>
      </c>
      <c r="H87">
        <f>SalesData[[#This Row],[Sales Amount]]*SalesData[[#This Row],[Quantity Sold]]</f>
        <v>3787168</v>
      </c>
      <c r="I87">
        <v>43816.22</v>
      </c>
      <c r="J87">
        <v>25.45</v>
      </c>
      <c r="K87" t="s">
        <v>27</v>
      </c>
      <c r="L87" t="s">
        <v>22</v>
      </c>
      <c r="M87" t="s">
        <v>28</v>
      </c>
    </row>
    <row r="88" spans="1:13" x14ac:dyDescent="0.3">
      <c r="A88" t="s">
        <v>24</v>
      </c>
      <c r="B88" t="s">
        <v>25</v>
      </c>
      <c r="C88" t="s">
        <v>26</v>
      </c>
      <c r="D88">
        <v>2024</v>
      </c>
      <c r="E88" t="s">
        <v>52</v>
      </c>
      <c r="F88">
        <v>706493</v>
      </c>
      <c r="G88">
        <v>15</v>
      </c>
      <c r="H88">
        <f>SalesData[[#This Row],[Sales Amount]]*SalesData[[#This Row],[Quantity Sold]]</f>
        <v>10597395</v>
      </c>
      <c r="I88">
        <v>197847.87</v>
      </c>
      <c r="J88">
        <v>28</v>
      </c>
      <c r="K88" t="s">
        <v>53</v>
      </c>
      <c r="L88" t="s">
        <v>22</v>
      </c>
      <c r="M88" t="s">
        <v>23</v>
      </c>
    </row>
    <row r="89" spans="1:13" x14ac:dyDescent="0.3">
      <c r="A89" t="s">
        <v>35</v>
      </c>
      <c r="B89" t="s">
        <v>36</v>
      </c>
      <c r="C89" t="s">
        <v>37</v>
      </c>
      <c r="D89">
        <v>2023</v>
      </c>
      <c r="E89" t="s">
        <v>42</v>
      </c>
      <c r="F89">
        <v>493529</v>
      </c>
      <c r="G89">
        <v>21</v>
      </c>
      <c r="H89">
        <f>SalesData[[#This Row],[Sales Amount]]*SalesData[[#This Row],[Quantity Sold]]</f>
        <v>10364109</v>
      </c>
      <c r="I89">
        <v>144813.95000000001</v>
      </c>
      <c r="J89">
        <v>29.34</v>
      </c>
      <c r="K89" t="s">
        <v>16</v>
      </c>
      <c r="L89" t="s">
        <v>17</v>
      </c>
      <c r="M89" t="s">
        <v>23</v>
      </c>
    </row>
    <row r="90" spans="1:13" x14ac:dyDescent="0.3">
      <c r="A90" t="s">
        <v>31</v>
      </c>
      <c r="B90" t="s">
        <v>32</v>
      </c>
      <c r="C90" t="s">
        <v>14</v>
      </c>
      <c r="D90">
        <v>2024</v>
      </c>
      <c r="E90" t="s">
        <v>41</v>
      </c>
      <c r="F90">
        <v>501410</v>
      </c>
      <c r="G90">
        <v>49</v>
      </c>
      <c r="H90">
        <f>SalesData[[#This Row],[Sales Amount]]*SalesData[[#This Row],[Quantity Sold]]</f>
        <v>24569090</v>
      </c>
      <c r="I90">
        <v>51631.839999999997</v>
      </c>
      <c r="J90">
        <v>10.3</v>
      </c>
      <c r="K90" t="s">
        <v>53</v>
      </c>
      <c r="L90" t="s">
        <v>22</v>
      </c>
      <c r="M90" t="s">
        <v>23</v>
      </c>
    </row>
    <row r="91" spans="1:13" x14ac:dyDescent="0.3">
      <c r="A91" t="s">
        <v>39</v>
      </c>
      <c r="B91" t="s">
        <v>40</v>
      </c>
      <c r="C91" t="s">
        <v>26</v>
      </c>
      <c r="D91">
        <v>2025</v>
      </c>
      <c r="E91" t="s">
        <v>29</v>
      </c>
      <c r="F91">
        <v>1185489</v>
      </c>
      <c r="G91">
        <v>27</v>
      </c>
      <c r="H91">
        <f>SalesData[[#This Row],[Sales Amount]]*SalesData[[#This Row],[Quantity Sold]]</f>
        <v>32008203</v>
      </c>
      <c r="I91">
        <v>187837.01</v>
      </c>
      <c r="J91">
        <v>15.84</v>
      </c>
      <c r="K91" t="s">
        <v>27</v>
      </c>
      <c r="L91" t="s">
        <v>17</v>
      </c>
      <c r="M91" t="s">
        <v>28</v>
      </c>
    </row>
    <row r="92" spans="1:13" x14ac:dyDescent="0.3">
      <c r="A92" t="s">
        <v>44</v>
      </c>
      <c r="B92" t="s">
        <v>45</v>
      </c>
      <c r="C92" t="s">
        <v>37</v>
      </c>
      <c r="D92">
        <v>2025</v>
      </c>
      <c r="E92" t="s">
        <v>51</v>
      </c>
      <c r="F92">
        <v>1376234</v>
      </c>
      <c r="G92">
        <v>29</v>
      </c>
      <c r="H92">
        <f>SalesData[[#This Row],[Sales Amount]]*SalesData[[#This Row],[Quantity Sold]]</f>
        <v>39910786</v>
      </c>
      <c r="I92">
        <v>346384.95</v>
      </c>
      <c r="J92">
        <v>25.17</v>
      </c>
      <c r="K92" t="s">
        <v>27</v>
      </c>
      <c r="L92" t="s">
        <v>17</v>
      </c>
      <c r="M92" t="s">
        <v>23</v>
      </c>
    </row>
    <row r="93" spans="1:13" x14ac:dyDescent="0.3">
      <c r="A93" t="s">
        <v>39</v>
      </c>
      <c r="B93" t="s">
        <v>40</v>
      </c>
      <c r="C93" t="s">
        <v>26</v>
      </c>
      <c r="D93">
        <v>2024</v>
      </c>
      <c r="E93" t="s">
        <v>29</v>
      </c>
      <c r="F93">
        <v>415181</v>
      </c>
      <c r="G93">
        <v>33</v>
      </c>
      <c r="H93">
        <f>SalesData[[#This Row],[Sales Amount]]*SalesData[[#This Row],[Quantity Sold]]</f>
        <v>13700973</v>
      </c>
      <c r="I93">
        <v>72509.039999999994</v>
      </c>
      <c r="J93">
        <v>17.46</v>
      </c>
      <c r="K93" t="s">
        <v>21</v>
      </c>
      <c r="L93" t="s">
        <v>17</v>
      </c>
      <c r="M93" t="s">
        <v>18</v>
      </c>
    </row>
    <row r="94" spans="1:13" x14ac:dyDescent="0.3">
      <c r="A94" t="s">
        <v>35</v>
      </c>
      <c r="B94" t="s">
        <v>36</v>
      </c>
      <c r="C94" t="s">
        <v>37</v>
      </c>
      <c r="D94">
        <v>2025</v>
      </c>
      <c r="E94" t="s">
        <v>38</v>
      </c>
      <c r="F94">
        <v>123200</v>
      </c>
      <c r="G94">
        <v>29</v>
      </c>
      <c r="H94">
        <f>SalesData[[#This Row],[Sales Amount]]*SalesData[[#This Row],[Quantity Sold]]</f>
        <v>3572800</v>
      </c>
      <c r="I94">
        <v>30963.03</v>
      </c>
      <c r="J94">
        <v>25.13</v>
      </c>
      <c r="K94" t="s">
        <v>43</v>
      </c>
      <c r="L94" t="s">
        <v>22</v>
      </c>
      <c r="M94" t="s">
        <v>18</v>
      </c>
    </row>
    <row r="95" spans="1:13" x14ac:dyDescent="0.3">
      <c r="A95" t="s">
        <v>31</v>
      </c>
      <c r="B95" t="s">
        <v>32</v>
      </c>
      <c r="C95" t="s">
        <v>14</v>
      </c>
      <c r="D95">
        <v>2024</v>
      </c>
      <c r="E95" t="s">
        <v>52</v>
      </c>
      <c r="F95">
        <v>367561</v>
      </c>
      <c r="G95">
        <v>2</v>
      </c>
      <c r="H95">
        <f>SalesData[[#This Row],[Sales Amount]]*SalesData[[#This Row],[Quantity Sold]]</f>
        <v>735122</v>
      </c>
      <c r="I95">
        <v>41394.61</v>
      </c>
      <c r="J95">
        <v>11.26</v>
      </c>
      <c r="K95" t="s">
        <v>27</v>
      </c>
      <c r="L95" t="s">
        <v>17</v>
      </c>
      <c r="M95" t="s">
        <v>18</v>
      </c>
    </row>
    <row r="96" spans="1:13" x14ac:dyDescent="0.3">
      <c r="A96" t="s">
        <v>31</v>
      </c>
      <c r="B96" t="s">
        <v>32</v>
      </c>
      <c r="C96" t="s">
        <v>14</v>
      </c>
      <c r="D96">
        <v>2024</v>
      </c>
      <c r="E96" t="s">
        <v>29</v>
      </c>
      <c r="F96">
        <v>1312305</v>
      </c>
      <c r="G96">
        <v>34</v>
      </c>
      <c r="H96">
        <f>SalesData[[#This Row],[Sales Amount]]*SalesData[[#This Row],[Quantity Sold]]</f>
        <v>44618370</v>
      </c>
      <c r="I96">
        <v>328375.07</v>
      </c>
      <c r="J96">
        <v>25.02</v>
      </c>
      <c r="K96" t="s">
        <v>43</v>
      </c>
      <c r="L96" t="s">
        <v>17</v>
      </c>
      <c r="M96" t="s">
        <v>28</v>
      </c>
    </row>
    <row r="97" spans="1:13" x14ac:dyDescent="0.3">
      <c r="A97" t="s">
        <v>44</v>
      </c>
      <c r="B97" t="s">
        <v>45</v>
      </c>
      <c r="C97" t="s">
        <v>37</v>
      </c>
      <c r="D97">
        <v>2025</v>
      </c>
      <c r="E97" t="s">
        <v>52</v>
      </c>
      <c r="F97">
        <v>411753</v>
      </c>
      <c r="G97">
        <v>18</v>
      </c>
      <c r="H97">
        <f>SalesData[[#This Row],[Sales Amount]]*SalesData[[#This Row],[Quantity Sold]]</f>
        <v>7411554</v>
      </c>
      <c r="I97">
        <v>61003.21</v>
      </c>
      <c r="J97">
        <v>14.82</v>
      </c>
      <c r="K97" t="s">
        <v>53</v>
      </c>
      <c r="L97" t="s">
        <v>17</v>
      </c>
      <c r="M97" t="s">
        <v>28</v>
      </c>
    </row>
    <row r="98" spans="1:13" x14ac:dyDescent="0.3">
      <c r="A98" t="s">
        <v>44</v>
      </c>
      <c r="B98" t="s">
        <v>45</v>
      </c>
      <c r="C98" t="s">
        <v>37</v>
      </c>
      <c r="D98">
        <v>2025</v>
      </c>
      <c r="E98" t="s">
        <v>20</v>
      </c>
      <c r="F98">
        <v>1115394</v>
      </c>
      <c r="G98">
        <v>29</v>
      </c>
      <c r="H98">
        <f>SalesData[[#This Row],[Sales Amount]]*SalesData[[#This Row],[Quantity Sold]]</f>
        <v>32346426</v>
      </c>
      <c r="I98">
        <v>267256.92</v>
      </c>
      <c r="J98">
        <v>23.96</v>
      </c>
      <c r="K98" t="s">
        <v>43</v>
      </c>
      <c r="L98" t="s">
        <v>17</v>
      </c>
      <c r="M98" t="s">
        <v>23</v>
      </c>
    </row>
    <row r="99" spans="1:13" x14ac:dyDescent="0.3">
      <c r="A99" t="s">
        <v>48</v>
      </c>
      <c r="B99" t="s">
        <v>49</v>
      </c>
      <c r="C99" t="s">
        <v>50</v>
      </c>
      <c r="D99">
        <v>2025</v>
      </c>
      <c r="E99" t="s">
        <v>42</v>
      </c>
      <c r="F99">
        <v>1131975</v>
      </c>
      <c r="G99">
        <v>25</v>
      </c>
      <c r="H99">
        <f>SalesData[[#This Row],[Sales Amount]]*SalesData[[#This Row],[Quantity Sold]]</f>
        <v>28299375</v>
      </c>
      <c r="I99">
        <v>148604.68</v>
      </c>
      <c r="J99">
        <v>13.13</v>
      </c>
      <c r="K99" t="s">
        <v>27</v>
      </c>
      <c r="L99" t="s">
        <v>22</v>
      </c>
      <c r="M99" t="s">
        <v>18</v>
      </c>
    </row>
    <row r="100" spans="1:13" x14ac:dyDescent="0.3">
      <c r="A100" t="s">
        <v>24</v>
      </c>
      <c r="B100" t="s">
        <v>25</v>
      </c>
      <c r="C100" t="s">
        <v>26</v>
      </c>
      <c r="D100">
        <v>2025</v>
      </c>
      <c r="E100" t="s">
        <v>29</v>
      </c>
      <c r="F100">
        <v>971347</v>
      </c>
      <c r="G100">
        <v>28</v>
      </c>
      <c r="H100">
        <f>SalesData[[#This Row],[Sales Amount]]*SalesData[[#This Row],[Quantity Sold]]</f>
        <v>27197716</v>
      </c>
      <c r="I100">
        <v>273879.94</v>
      </c>
      <c r="J100">
        <v>28.2</v>
      </c>
      <c r="K100" t="s">
        <v>43</v>
      </c>
      <c r="L100" t="s">
        <v>17</v>
      </c>
      <c r="M100" t="s">
        <v>23</v>
      </c>
    </row>
    <row r="101" spans="1:13" x14ac:dyDescent="0.3">
      <c r="A101" t="s">
        <v>46</v>
      </c>
      <c r="B101" t="s">
        <v>47</v>
      </c>
      <c r="C101" t="s">
        <v>14</v>
      </c>
      <c r="D101">
        <v>2023</v>
      </c>
      <c r="E101" t="s">
        <v>34</v>
      </c>
      <c r="F101">
        <v>50635</v>
      </c>
      <c r="G101">
        <v>39</v>
      </c>
      <c r="H101">
        <f>SalesData[[#This Row],[Sales Amount]]*SalesData[[#This Row],[Quantity Sold]]</f>
        <v>1974765</v>
      </c>
      <c r="I101">
        <v>9693.0400000000009</v>
      </c>
      <c r="J101">
        <v>19.14</v>
      </c>
      <c r="K101" t="s">
        <v>53</v>
      </c>
      <c r="L101" t="s">
        <v>17</v>
      </c>
      <c r="M101" t="s">
        <v>23</v>
      </c>
    </row>
    <row r="102" spans="1:13" x14ac:dyDescent="0.3">
      <c r="A102" t="s">
        <v>48</v>
      </c>
      <c r="B102" t="s">
        <v>49</v>
      </c>
      <c r="C102" t="s">
        <v>50</v>
      </c>
      <c r="D102">
        <v>2023</v>
      </c>
      <c r="E102" t="s">
        <v>42</v>
      </c>
      <c r="F102">
        <v>473743</v>
      </c>
      <c r="G102">
        <v>41</v>
      </c>
      <c r="H102">
        <f>SalesData[[#This Row],[Sales Amount]]*SalesData[[#This Row],[Quantity Sold]]</f>
        <v>19423463</v>
      </c>
      <c r="I102">
        <v>85991.77</v>
      </c>
      <c r="J102">
        <v>18.149999999999999</v>
      </c>
      <c r="K102" t="s">
        <v>27</v>
      </c>
      <c r="L102" t="s">
        <v>22</v>
      </c>
      <c r="M102" t="s">
        <v>28</v>
      </c>
    </row>
    <row r="103" spans="1:13" x14ac:dyDescent="0.3">
      <c r="A103" t="s">
        <v>44</v>
      </c>
      <c r="B103" t="s">
        <v>45</v>
      </c>
      <c r="C103" t="s">
        <v>37</v>
      </c>
      <c r="D103">
        <v>2025</v>
      </c>
      <c r="E103" t="s">
        <v>30</v>
      </c>
      <c r="F103">
        <v>724913</v>
      </c>
      <c r="G103">
        <v>38</v>
      </c>
      <c r="H103">
        <f>SalesData[[#This Row],[Sales Amount]]*SalesData[[#This Row],[Quantity Sold]]</f>
        <v>27546694</v>
      </c>
      <c r="I103">
        <v>161297.24</v>
      </c>
      <c r="J103">
        <v>22.25</v>
      </c>
      <c r="K103" t="s">
        <v>27</v>
      </c>
      <c r="L103" t="s">
        <v>17</v>
      </c>
      <c r="M103" t="s">
        <v>18</v>
      </c>
    </row>
    <row r="104" spans="1:13" x14ac:dyDescent="0.3">
      <c r="A104" t="s">
        <v>48</v>
      </c>
      <c r="B104" t="s">
        <v>49</v>
      </c>
      <c r="C104" t="s">
        <v>50</v>
      </c>
      <c r="D104">
        <v>2024</v>
      </c>
      <c r="E104" t="s">
        <v>15</v>
      </c>
      <c r="F104">
        <v>983575</v>
      </c>
      <c r="G104">
        <v>32</v>
      </c>
      <c r="H104">
        <f>SalesData[[#This Row],[Sales Amount]]*SalesData[[#This Row],[Quantity Sold]]</f>
        <v>31474400</v>
      </c>
      <c r="I104">
        <v>182681.75</v>
      </c>
      <c r="J104">
        <v>18.57</v>
      </c>
      <c r="K104" t="s">
        <v>27</v>
      </c>
      <c r="L104" t="s">
        <v>17</v>
      </c>
      <c r="M104" t="s">
        <v>18</v>
      </c>
    </row>
    <row r="105" spans="1:13" x14ac:dyDescent="0.3">
      <c r="A105" t="s">
        <v>12</v>
      </c>
      <c r="B105" t="s">
        <v>13</v>
      </c>
      <c r="C105" t="s">
        <v>14</v>
      </c>
      <c r="D105">
        <v>2024</v>
      </c>
      <c r="E105" t="s">
        <v>33</v>
      </c>
      <c r="F105">
        <v>1468382</v>
      </c>
      <c r="G105">
        <v>43</v>
      </c>
      <c r="H105">
        <f>SalesData[[#This Row],[Sales Amount]]*SalesData[[#This Row],[Quantity Sold]]</f>
        <v>63140426</v>
      </c>
      <c r="I105">
        <v>175183.18</v>
      </c>
      <c r="J105">
        <v>11.93</v>
      </c>
      <c r="K105" t="s">
        <v>27</v>
      </c>
      <c r="L105" t="s">
        <v>22</v>
      </c>
      <c r="M105" t="s">
        <v>28</v>
      </c>
    </row>
    <row r="106" spans="1:13" x14ac:dyDescent="0.3">
      <c r="A106" t="s">
        <v>48</v>
      </c>
      <c r="B106" t="s">
        <v>49</v>
      </c>
      <c r="C106" t="s">
        <v>50</v>
      </c>
      <c r="D106">
        <v>2023</v>
      </c>
      <c r="E106" t="s">
        <v>38</v>
      </c>
      <c r="F106">
        <v>984445</v>
      </c>
      <c r="G106">
        <v>8</v>
      </c>
      <c r="H106">
        <f>SalesData[[#This Row],[Sales Amount]]*SalesData[[#This Row],[Quantity Sold]]</f>
        <v>7875560</v>
      </c>
      <c r="I106">
        <v>103398.09</v>
      </c>
      <c r="J106">
        <v>10.5</v>
      </c>
      <c r="K106" t="s">
        <v>27</v>
      </c>
      <c r="L106" t="s">
        <v>17</v>
      </c>
      <c r="M106" t="s">
        <v>23</v>
      </c>
    </row>
    <row r="107" spans="1:13" x14ac:dyDescent="0.3">
      <c r="A107" t="s">
        <v>44</v>
      </c>
      <c r="B107" t="s">
        <v>45</v>
      </c>
      <c r="C107" t="s">
        <v>37</v>
      </c>
      <c r="D107">
        <v>2023</v>
      </c>
      <c r="E107" t="s">
        <v>52</v>
      </c>
      <c r="F107">
        <v>82579</v>
      </c>
      <c r="G107">
        <v>50</v>
      </c>
      <c r="H107">
        <f>SalesData[[#This Row],[Sales Amount]]*SalesData[[#This Row],[Quantity Sold]]</f>
        <v>4128950</v>
      </c>
      <c r="I107">
        <v>20397.900000000001</v>
      </c>
      <c r="J107">
        <v>24.7</v>
      </c>
      <c r="K107" t="s">
        <v>27</v>
      </c>
      <c r="L107" t="s">
        <v>17</v>
      </c>
      <c r="M107" t="s">
        <v>28</v>
      </c>
    </row>
    <row r="108" spans="1:13" x14ac:dyDescent="0.3">
      <c r="A108" t="s">
        <v>31</v>
      </c>
      <c r="B108" t="s">
        <v>32</v>
      </c>
      <c r="C108" t="s">
        <v>14</v>
      </c>
      <c r="D108">
        <v>2025</v>
      </c>
      <c r="E108" t="s">
        <v>29</v>
      </c>
      <c r="F108">
        <v>554820</v>
      </c>
      <c r="G108">
        <v>43</v>
      </c>
      <c r="H108">
        <f>SalesData[[#This Row],[Sales Amount]]*SalesData[[#This Row],[Quantity Sold]]</f>
        <v>23857260</v>
      </c>
      <c r="I108">
        <v>101906.99</v>
      </c>
      <c r="J108">
        <v>18.37</v>
      </c>
      <c r="K108" t="s">
        <v>43</v>
      </c>
      <c r="L108" t="s">
        <v>22</v>
      </c>
      <c r="M108" t="s">
        <v>23</v>
      </c>
    </row>
    <row r="109" spans="1:13" x14ac:dyDescent="0.3">
      <c r="A109" t="s">
        <v>31</v>
      </c>
      <c r="B109" t="s">
        <v>32</v>
      </c>
      <c r="C109" t="s">
        <v>14</v>
      </c>
      <c r="D109">
        <v>2025</v>
      </c>
      <c r="E109" t="s">
        <v>30</v>
      </c>
      <c r="F109">
        <v>1000316</v>
      </c>
      <c r="G109">
        <v>40</v>
      </c>
      <c r="H109">
        <f>SalesData[[#This Row],[Sales Amount]]*SalesData[[#This Row],[Quantity Sold]]</f>
        <v>40012640</v>
      </c>
      <c r="I109">
        <v>292663.81</v>
      </c>
      <c r="J109">
        <v>29.26</v>
      </c>
      <c r="K109" t="s">
        <v>16</v>
      </c>
      <c r="L109" t="s">
        <v>17</v>
      </c>
      <c r="M109" t="s">
        <v>23</v>
      </c>
    </row>
    <row r="110" spans="1:13" x14ac:dyDescent="0.3">
      <c r="A110" t="s">
        <v>35</v>
      </c>
      <c r="B110" t="s">
        <v>36</v>
      </c>
      <c r="C110" t="s">
        <v>37</v>
      </c>
      <c r="D110">
        <v>2024</v>
      </c>
      <c r="E110" t="s">
        <v>42</v>
      </c>
      <c r="F110">
        <v>589185</v>
      </c>
      <c r="G110">
        <v>14</v>
      </c>
      <c r="H110">
        <f>SalesData[[#This Row],[Sales Amount]]*SalesData[[#This Row],[Quantity Sold]]</f>
        <v>8248590</v>
      </c>
      <c r="I110">
        <v>145875.03</v>
      </c>
      <c r="J110">
        <v>24.76</v>
      </c>
      <c r="K110" t="s">
        <v>16</v>
      </c>
      <c r="L110" t="s">
        <v>17</v>
      </c>
      <c r="M110" t="s">
        <v>23</v>
      </c>
    </row>
    <row r="111" spans="1:13" x14ac:dyDescent="0.3">
      <c r="A111" t="s">
        <v>48</v>
      </c>
      <c r="B111" t="s">
        <v>49</v>
      </c>
      <c r="C111" t="s">
        <v>50</v>
      </c>
      <c r="D111">
        <v>2023</v>
      </c>
      <c r="E111" t="s">
        <v>42</v>
      </c>
      <c r="F111">
        <v>710700</v>
      </c>
      <c r="G111">
        <v>13</v>
      </c>
      <c r="H111">
        <f>SalesData[[#This Row],[Sales Amount]]*SalesData[[#This Row],[Quantity Sold]]</f>
        <v>9239100</v>
      </c>
      <c r="I111">
        <v>73536.429999999993</v>
      </c>
      <c r="J111">
        <v>10.35</v>
      </c>
      <c r="K111" t="s">
        <v>53</v>
      </c>
      <c r="L111" t="s">
        <v>22</v>
      </c>
      <c r="M111" t="s">
        <v>18</v>
      </c>
    </row>
    <row r="112" spans="1:13" x14ac:dyDescent="0.3">
      <c r="A112" t="s">
        <v>46</v>
      </c>
      <c r="B112" t="s">
        <v>47</v>
      </c>
      <c r="C112" t="s">
        <v>14</v>
      </c>
      <c r="D112">
        <v>2023</v>
      </c>
      <c r="E112" t="s">
        <v>51</v>
      </c>
      <c r="F112">
        <v>1460608</v>
      </c>
      <c r="G112">
        <v>35</v>
      </c>
      <c r="H112">
        <f>SalesData[[#This Row],[Sales Amount]]*SalesData[[#This Row],[Quantity Sold]]</f>
        <v>51121280</v>
      </c>
      <c r="I112">
        <v>213582.95</v>
      </c>
      <c r="J112">
        <v>14.62</v>
      </c>
      <c r="K112" t="s">
        <v>21</v>
      </c>
      <c r="L112" t="s">
        <v>22</v>
      </c>
      <c r="M112" t="s">
        <v>18</v>
      </c>
    </row>
    <row r="113" spans="1:13" x14ac:dyDescent="0.3">
      <c r="A113" t="s">
        <v>46</v>
      </c>
      <c r="B113" t="s">
        <v>47</v>
      </c>
      <c r="C113" t="s">
        <v>14</v>
      </c>
      <c r="D113">
        <v>2024</v>
      </c>
      <c r="E113" t="s">
        <v>42</v>
      </c>
      <c r="F113">
        <v>104211</v>
      </c>
      <c r="G113">
        <v>5</v>
      </c>
      <c r="H113">
        <f>SalesData[[#This Row],[Sales Amount]]*SalesData[[#This Row],[Quantity Sold]]</f>
        <v>521055</v>
      </c>
      <c r="I113">
        <v>10970.16</v>
      </c>
      <c r="J113">
        <v>10.53</v>
      </c>
      <c r="K113" t="s">
        <v>21</v>
      </c>
      <c r="L113" t="s">
        <v>17</v>
      </c>
      <c r="M113" t="s">
        <v>18</v>
      </c>
    </row>
    <row r="114" spans="1:13" x14ac:dyDescent="0.3">
      <c r="A114" t="s">
        <v>24</v>
      </c>
      <c r="B114" t="s">
        <v>25</v>
      </c>
      <c r="C114" t="s">
        <v>26</v>
      </c>
      <c r="D114">
        <v>2023</v>
      </c>
      <c r="E114" t="s">
        <v>19</v>
      </c>
      <c r="F114">
        <v>141643</v>
      </c>
      <c r="G114">
        <v>35</v>
      </c>
      <c r="H114">
        <f>SalesData[[#This Row],[Sales Amount]]*SalesData[[#This Row],[Quantity Sold]]</f>
        <v>4957505</v>
      </c>
      <c r="I114">
        <v>16780.900000000001</v>
      </c>
      <c r="J114">
        <v>11.85</v>
      </c>
      <c r="K114" t="s">
        <v>27</v>
      </c>
      <c r="L114" t="s">
        <v>22</v>
      </c>
      <c r="M114" t="s">
        <v>28</v>
      </c>
    </row>
    <row r="115" spans="1:13" x14ac:dyDescent="0.3">
      <c r="A115" t="s">
        <v>46</v>
      </c>
      <c r="B115" t="s">
        <v>47</v>
      </c>
      <c r="C115" t="s">
        <v>14</v>
      </c>
      <c r="D115">
        <v>2023</v>
      </c>
      <c r="E115" t="s">
        <v>20</v>
      </c>
      <c r="F115">
        <v>524166</v>
      </c>
      <c r="G115">
        <v>39</v>
      </c>
      <c r="H115">
        <f>SalesData[[#This Row],[Sales Amount]]*SalesData[[#This Row],[Quantity Sold]]</f>
        <v>20442474</v>
      </c>
      <c r="I115">
        <v>147209.79999999999</v>
      </c>
      <c r="J115">
        <v>28.08</v>
      </c>
      <c r="K115" t="s">
        <v>27</v>
      </c>
      <c r="L115" t="s">
        <v>17</v>
      </c>
      <c r="M115" t="s">
        <v>23</v>
      </c>
    </row>
    <row r="116" spans="1:13" x14ac:dyDescent="0.3">
      <c r="A116" t="s">
        <v>46</v>
      </c>
      <c r="B116" t="s">
        <v>47</v>
      </c>
      <c r="C116" t="s">
        <v>14</v>
      </c>
      <c r="D116">
        <v>2023</v>
      </c>
      <c r="E116" t="s">
        <v>15</v>
      </c>
      <c r="F116">
        <v>1119286</v>
      </c>
      <c r="G116">
        <v>27</v>
      </c>
      <c r="H116">
        <f>SalesData[[#This Row],[Sales Amount]]*SalesData[[#This Row],[Quantity Sold]]</f>
        <v>30220722</v>
      </c>
      <c r="I116">
        <v>128287.99</v>
      </c>
      <c r="J116">
        <v>11.46</v>
      </c>
      <c r="K116" t="s">
        <v>21</v>
      </c>
      <c r="L116" t="s">
        <v>22</v>
      </c>
      <c r="M116" t="s">
        <v>23</v>
      </c>
    </row>
    <row r="117" spans="1:13" x14ac:dyDescent="0.3">
      <c r="A117" t="s">
        <v>44</v>
      </c>
      <c r="B117" t="s">
        <v>45</v>
      </c>
      <c r="C117" t="s">
        <v>37</v>
      </c>
      <c r="D117">
        <v>2024</v>
      </c>
      <c r="E117" t="s">
        <v>19</v>
      </c>
      <c r="F117">
        <v>1362696</v>
      </c>
      <c r="G117">
        <v>45</v>
      </c>
      <c r="H117">
        <f>SalesData[[#This Row],[Sales Amount]]*SalesData[[#This Row],[Quantity Sold]]</f>
        <v>61321320</v>
      </c>
      <c r="I117">
        <v>230990.47</v>
      </c>
      <c r="J117">
        <v>16.95</v>
      </c>
      <c r="K117" t="s">
        <v>21</v>
      </c>
      <c r="L117" t="s">
        <v>17</v>
      </c>
      <c r="M117" t="s">
        <v>23</v>
      </c>
    </row>
    <row r="118" spans="1:13" x14ac:dyDescent="0.3">
      <c r="A118" t="s">
        <v>24</v>
      </c>
      <c r="B118" t="s">
        <v>25</v>
      </c>
      <c r="C118" t="s">
        <v>26</v>
      </c>
      <c r="D118">
        <v>2023</v>
      </c>
      <c r="E118" t="s">
        <v>51</v>
      </c>
      <c r="F118">
        <v>840731</v>
      </c>
      <c r="G118">
        <v>31</v>
      </c>
      <c r="H118">
        <f>SalesData[[#This Row],[Sales Amount]]*SalesData[[#This Row],[Quantity Sold]]</f>
        <v>26062661</v>
      </c>
      <c r="I118">
        <v>90433.89</v>
      </c>
      <c r="J118">
        <v>10.76</v>
      </c>
      <c r="K118" t="s">
        <v>21</v>
      </c>
      <c r="L118" t="s">
        <v>17</v>
      </c>
      <c r="M118" t="s">
        <v>28</v>
      </c>
    </row>
    <row r="119" spans="1:13" x14ac:dyDescent="0.3">
      <c r="A119" t="s">
        <v>31</v>
      </c>
      <c r="B119" t="s">
        <v>32</v>
      </c>
      <c r="C119" t="s">
        <v>14</v>
      </c>
      <c r="D119">
        <v>2023</v>
      </c>
      <c r="E119" t="s">
        <v>19</v>
      </c>
      <c r="F119">
        <v>149641</v>
      </c>
      <c r="G119">
        <v>19</v>
      </c>
      <c r="H119">
        <f>SalesData[[#This Row],[Sales Amount]]*SalesData[[#This Row],[Quantity Sold]]</f>
        <v>2843179</v>
      </c>
      <c r="I119">
        <v>44824.41</v>
      </c>
      <c r="J119">
        <v>29.95</v>
      </c>
      <c r="K119" t="s">
        <v>21</v>
      </c>
      <c r="L119" t="s">
        <v>22</v>
      </c>
      <c r="M119" t="s">
        <v>18</v>
      </c>
    </row>
    <row r="120" spans="1:13" x14ac:dyDescent="0.3">
      <c r="A120" t="s">
        <v>48</v>
      </c>
      <c r="B120" t="s">
        <v>49</v>
      </c>
      <c r="C120" t="s">
        <v>50</v>
      </c>
      <c r="D120">
        <v>2023</v>
      </c>
      <c r="E120" t="s">
        <v>33</v>
      </c>
      <c r="F120">
        <v>59071</v>
      </c>
      <c r="G120">
        <v>22</v>
      </c>
      <c r="H120">
        <f>SalesData[[#This Row],[Sales Amount]]*SalesData[[#This Row],[Quantity Sold]]</f>
        <v>1299562</v>
      </c>
      <c r="I120">
        <v>9397.7800000000007</v>
      </c>
      <c r="J120">
        <v>15.91</v>
      </c>
      <c r="K120" t="s">
        <v>27</v>
      </c>
      <c r="L120" t="s">
        <v>17</v>
      </c>
      <c r="M120" t="s">
        <v>18</v>
      </c>
    </row>
    <row r="121" spans="1:13" x14ac:dyDescent="0.3">
      <c r="A121" t="s">
        <v>46</v>
      </c>
      <c r="B121" t="s">
        <v>47</v>
      </c>
      <c r="C121" t="s">
        <v>14</v>
      </c>
      <c r="D121">
        <v>2024</v>
      </c>
      <c r="E121" t="s">
        <v>30</v>
      </c>
      <c r="F121">
        <v>672910</v>
      </c>
      <c r="G121">
        <v>21</v>
      </c>
      <c r="H121">
        <f>SalesData[[#This Row],[Sales Amount]]*SalesData[[#This Row],[Quantity Sold]]</f>
        <v>14131110</v>
      </c>
      <c r="I121">
        <v>96252.03</v>
      </c>
      <c r="J121">
        <v>14.3</v>
      </c>
      <c r="K121" t="s">
        <v>21</v>
      </c>
      <c r="L121" t="s">
        <v>22</v>
      </c>
      <c r="M121" t="s">
        <v>18</v>
      </c>
    </row>
  </sheetData>
  <pageMargins left="0.75" right="0.75" top="1" bottom="1" header="0.5" footer="0.5"/>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B39A3-AB36-42B7-95E3-E541B580DEF2}">
  <dimension ref="A3:B12"/>
  <sheetViews>
    <sheetView topLeftCell="B1" workbookViewId="0">
      <selection activeCell="B4" sqref="B4"/>
    </sheetView>
  </sheetViews>
  <sheetFormatPr defaultRowHeight="14.4" x14ac:dyDescent="0.3"/>
  <cols>
    <col min="1" max="1" width="12.5546875" bestFit="1" customWidth="1"/>
    <col min="2" max="2" width="16.44140625" bestFit="1" customWidth="1"/>
  </cols>
  <sheetData>
    <row r="3" spans="1:2" x14ac:dyDescent="0.3">
      <c r="A3" s="6" t="s">
        <v>204</v>
      </c>
      <c r="B3" t="s">
        <v>208</v>
      </c>
    </row>
    <row r="4" spans="1:2" x14ac:dyDescent="0.3">
      <c r="A4" s="7" t="s">
        <v>36</v>
      </c>
      <c r="B4" s="9">
        <v>228454475</v>
      </c>
    </row>
    <row r="5" spans="1:2" x14ac:dyDescent="0.3">
      <c r="A5" s="7" t="s">
        <v>45</v>
      </c>
      <c r="B5" s="9">
        <v>364701617</v>
      </c>
    </row>
    <row r="6" spans="1:2" x14ac:dyDescent="0.3">
      <c r="A6" s="7" t="s">
        <v>47</v>
      </c>
      <c r="B6" s="9">
        <v>321635033</v>
      </c>
    </row>
    <row r="7" spans="1:2" x14ac:dyDescent="0.3">
      <c r="A7" s="7" t="s">
        <v>13</v>
      </c>
      <c r="B7" s="9">
        <v>368050737</v>
      </c>
    </row>
    <row r="8" spans="1:2" x14ac:dyDescent="0.3">
      <c r="A8" s="7" t="s">
        <v>25</v>
      </c>
      <c r="B8" s="9">
        <v>376056234</v>
      </c>
    </row>
    <row r="9" spans="1:2" x14ac:dyDescent="0.3">
      <c r="A9" s="7" t="s">
        <v>40</v>
      </c>
      <c r="B9" s="9">
        <v>219335480</v>
      </c>
    </row>
    <row r="10" spans="1:2" x14ac:dyDescent="0.3">
      <c r="A10" s="7" t="s">
        <v>49</v>
      </c>
      <c r="B10" s="9">
        <v>290649159</v>
      </c>
    </row>
    <row r="11" spans="1:2" x14ac:dyDescent="0.3">
      <c r="A11" s="7" t="s">
        <v>32</v>
      </c>
      <c r="B11" s="9">
        <v>327542633</v>
      </c>
    </row>
    <row r="12" spans="1:2" x14ac:dyDescent="0.3">
      <c r="A12" s="7" t="s">
        <v>205</v>
      </c>
      <c r="B12" s="9">
        <v>2496425368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22942-599C-4884-8D1B-E77BACE3B50B}">
  <dimension ref="A3:E4"/>
  <sheetViews>
    <sheetView workbookViewId="0">
      <selection activeCell="I16" sqref="I16"/>
    </sheetView>
  </sheetViews>
  <sheetFormatPr defaultRowHeight="14.4" x14ac:dyDescent="0.3"/>
  <cols>
    <col min="1" max="1" width="29.33203125" bestFit="1" customWidth="1"/>
    <col min="2" max="2" width="25.21875" bestFit="1" customWidth="1"/>
    <col min="3" max="3" width="33.109375" bestFit="1" customWidth="1"/>
    <col min="4" max="4" width="24.5546875" bestFit="1" customWidth="1"/>
    <col min="5" max="5" width="24.21875" bestFit="1" customWidth="1"/>
  </cols>
  <sheetData>
    <row r="3" spans="1:5" x14ac:dyDescent="0.3">
      <c r="A3" t="s">
        <v>217</v>
      </c>
      <c r="B3" t="s">
        <v>218</v>
      </c>
      <c r="C3" t="s">
        <v>219</v>
      </c>
      <c r="D3" t="s">
        <v>220</v>
      </c>
      <c r="E3" t="s">
        <v>221</v>
      </c>
    </row>
    <row r="4" spans="1:5" x14ac:dyDescent="0.3">
      <c r="A4" s="9">
        <v>63</v>
      </c>
      <c r="B4" s="9">
        <v>57</v>
      </c>
      <c r="C4" s="9">
        <v>44</v>
      </c>
      <c r="D4" s="9">
        <v>48</v>
      </c>
      <c r="E4" s="9">
        <v>28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D3FD9-B5DB-424E-92CC-BCE3DFAFC71C}">
  <dimension ref="A3:B12"/>
  <sheetViews>
    <sheetView workbookViewId="0">
      <selection activeCell="M19" sqref="M19"/>
    </sheetView>
  </sheetViews>
  <sheetFormatPr defaultRowHeight="14.4" x14ac:dyDescent="0.3"/>
  <cols>
    <col min="1" max="1" width="12.5546875" bestFit="1" customWidth="1"/>
    <col min="2" max="2" width="16.88671875" bestFit="1" customWidth="1"/>
  </cols>
  <sheetData>
    <row r="3" spans="1:2" x14ac:dyDescent="0.3">
      <c r="A3" s="6" t="s">
        <v>204</v>
      </c>
      <c r="B3" t="s">
        <v>209</v>
      </c>
    </row>
    <row r="4" spans="1:2" x14ac:dyDescent="0.3">
      <c r="A4" s="7" t="s">
        <v>36</v>
      </c>
      <c r="B4" s="9">
        <v>1619608.96</v>
      </c>
    </row>
    <row r="5" spans="1:2" x14ac:dyDescent="0.3">
      <c r="A5" s="7" t="s">
        <v>45</v>
      </c>
      <c r="B5" s="9">
        <v>2285023.9499999997</v>
      </c>
    </row>
    <row r="6" spans="1:2" x14ac:dyDescent="0.3">
      <c r="A6" s="7" t="s">
        <v>47</v>
      </c>
      <c r="B6" s="9">
        <v>1937883.9200000002</v>
      </c>
    </row>
    <row r="7" spans="1:2" x14ac:dyDescent="0.3">
      <c r="A7" s="7" t="s">
        <v>13</v>
      </c>
      <c r="B7" s="9">
        <v>2370711.08</v>
      </c>
    </row>
    <row r="8" spans="1:2" x14ac:dyDescent="0.3">
      <c r="A8" s="7" t="s">
        <v>25</v>
      </c>
      <c r="B8" s="9">
        <v>3125789.3799999994</v>
      </c>
    </row>
    <row r="9" spans="1:2" x14ac:dyDescent="0.3">
      <c r="A9" s="7" t="s">
        <v>40</v>
      </c>
      <c r="B9" s="9">
        <v>1679239.54</v>
      </c>
    </row>
    <row r="10" spans="1:2" x14ac:dyDescent="0.3">
      <c r="A10" s="7" t="s">
        <v>49</v>
      </c>
      <c r="B10" s="9">
        <v>1858058.6400000001</v>
      </c>
    </row>
    <row r="11" spans="1:2" x14ac:dyDescent="0.3">
      <c r="A11" s="7" t="s">
        <v>32</v>
      </c>
      <c r="B11" s="9">
        <v>1811321.79</v>
      </c>
    </row>
    <row r="12" spans="1:2" x14ac:dyDescent="0.3">
      <c r="A12" s="7" t="s">
        <v>205</v>
      </c>
      <c r="B12" s="9">
        <v>16687637.259999998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F17C-3532-452D-82AD-33517D1AFE71}">
  <dimension ref="A3:C36"/>
  <sheetViews>
    <sheetView workbookViewId="0">
      <selection activeCell="P21" sqref="P21"/>
    </sheetView>
  </sheetViews>
  <sheetFormatPr defaultRowHeight="14.4" x14ac:dyDescent="0.3"/>
  <cols>
    <col min="1" max="1" width="13.44140625" bestFit="1" customWidth="1"/>
    <col min="2" max="2" width="11.109375" bestFit="1" customWidth="1"/>
    <col min="3" max="3" width="16.44140625" bestFit="1" customWidth="1"/>
  </cols>
  <sheetData>
    <row r="3" spans="1:3" x14ac:dyDescent="0.3">
      <c r="A3" s="6" t="s">
        <v>204</v>
      </c>
      <c r="B3" t="s">
        <v>210</v>
      </c>
      <c r="C3" t="s">
        <v>208</v>
      </c>
    </row>
    <row r="4" spans="1:3" x14ac:dyDescent="0.3">
      <c r="A4" s="7" t="s">
        <v>36</v>
      </c>
      <c r="B4" s="9">
        <v>26314</v>
      </c>
      <c r="C4" s="9">
        <v>228454475</v>
      </c>
    </row>
    <row r="5" spans="1:3" x14ac:dyDescent="0.3">
      <c r="A5" s="10">
        <v>2023</v>
      </c>
      <c r="B5" s="9">
        <v>8092</v>
      </c>
      <c r="C5" s="9">
        <v>84985033</v>
      </c>
    </row>
    <row r="6" spans="1:3" x14ac:dyDescent="0.3">
      <c r="A6" s="10">
        <v>2024</v>
      </c>
      <c r="B6" s="9">
        <v>6072</v>
      </c>
      <c r="C6" s="9">
        <v>66140670</v>
      </c>
    </row>
    <row r="7" spans="1:3" x14ac:dyDescent="0.3">
      <c r="A7" s="10">
        <v>2025</v>
      </c>
      <c r="B7" s="9">
        <v>12150</v>
      </c>
      <c r="C7" s="9">
        <v>77328772</v>
      </c>
    </row>
    <row r="8" spans="1:3" x14ac:dyDescent="0.3">
      <c r="A8" s="7" t="s">
        <v>45</v>
      </c>
      <c r="B8" s="9">
        <v>28340</v>
      </c>
      <c r="C8" s="9">
        <v>364701617</v>
      </c>
    </row>
    <row r="9" spans="1:3" x14ac:dyDescent="0.3">
      <c r="A9" s="10">
        <v>2023</v>
      </c>
      <c r="B9" s="9">
        <v>8092</v>
      </c>
      <c r="C9" s="9">
        <v>80013767</v>
      </c>
    </row>
    <row r="10" spans="1:3" x14ac:dyDescent="0.3">
      <c r="A10" s="10">
        <v>2024</v>
      </c>
      <c r="B10" s="9">
        <v>4048</v>
      </c>
      <c r="C10" s="9">
        <v>66902714</v>
      </c>
    </row>
    <row r="11" spans="1:3" x14ac:dyDescent="0.3">
      <c r="A11" s="10">
        <v>2025</v>
      </c>
      <c r="B11" s="9">
        <v>16200</v>
      </c>
      <c r="C11" s="9">
        <v>217785136</v>
      </c>
    </row>
    <row r="12" spans="1:3" x14ac:dyDescent="0.3">
      <c r="A12" s="7" t="s">
        <v>47</v>
      </c>
      <c r="B12" s="9">
        <v>34407</v>
      </c>
      <c r="C12" s="9">
        <v>321635033</v>
      </c>
    </row>
    <row r="13" spans="1:3" x14ac:dyDescent="0.3">
      <c r="A13" s="10">
        <v>2023</v>
      </c>
      <c r="B13" s="9">
        <v>14161</v>
      </c>
      <c r="C13" s="9">
        <v>188992764</v>
      </c>
    </row>
    <row r="14" spans="1:3" x14ac:dyDescent="0.3">
      <c r="A14" s="10">
        <v>2024</v>
      </c>
      <c r="B14" s="9">
        <v>8096</v>
      </c>
      <c r="C14" s="9">
        <v>42944871</v>
      </c>
    </row>
    <row r="15" spans="1:3" x14ac:dyDescent="0.3">
      <c r="A15" s="10">
        <v>2025</v>
      </c>
      <c r="B15" s="9">
        <v>12150</v>
      </c>
      <c r="C15" s="9">
        <v>89697398</v>
      </c>
    </row>
    <row r="16" spans="1:3" x14ac:dyDescent="0.3">
      <c r="A16" s="7" t="s">
        <v>13</v>
      </c>
      <c r="B16" s="9">
        <v>32386</v>
      </c>
      <c r="C16" s="9">
        <v>368050737</v>
      </c>
    </row>
    <row r="17" spans="1:3" x14ac:dyDescent="0.3">
      <c r="A17" s="10">
        <v>2023</v>
      </c>
      <c r="B17" s="9">
        <v>8092</v>
      </c>
      <c r="C17" s="9">
        <v>91476086</v>
      </c>
    </row>
    <row r="18" spans="1:3" x14ac:dyDescent="0.3">
      <c r="A18" s="10">
        <v>2024</v>
      </c>
      <c r="B18" s="9">
        <v>12144</v>
      </c>
      <c r="C18" s="9">
        <v>160818623</v>
      </c>
    </row>
    <row r="19" spans="1:3" x14ac:dyDescent="0.3">
      <c r="A19" s="10">
        <v>2025</v>
      </c>
      <c r="B19" s="9">
        <v>12150</v>
      </c>
      <c r="C19" s="9">
        <v>115756028</v>
      </c>
    </row>
    <row r="20" spans="1:3" x14ac:dyDescent="0.3">
      <c r="A20" s="7" t="s">
        <v>25</v>
      </c>
      <c r="B20" s="9">
        <v>36432</v>
      </c>
      <c r="C20" s="9">
        <v>376056234</v>
      </c>
    </row>
    <row r="21" spans="1:3" x14ac:dyDescent="0.3">
      <c r="A21" s="10">
        <v>2023</v>
      </c>
      <c r="B21" s="9">
        <v>8092</v>
      </c>
      <c r="C21" s="9">
        <v>87149030</v>
      </c>
    </row>
    <row r="22" spans="1:3" x14ac:dyDescent="0.3">
      <c r="A22" s="10">
        <v>2024</v>
      </c>
      <c r="B22" s="9">
        <v>20240</v>
      </c>
      <c r="C22" s="9">
        <v>193985598</v>
      </c>
    </row>
    <row r="23" spans="1:3" x14ac:dyDescent="0.3">
      <c r="A23" s="10">
        <v>2025</v>
      </c>
      <c r="B23" s="9">
        <v>8100</v>
      </c>
      <c r="C23" s="9">
        <v>94921606</v>
      </c>
    </row>
    <row r="24" spans="1:3" x14ac:dyDescent="0.3">
      <c r="A24" s="7" t="s">
        <v>40</v>
      </c>
      <c r="B24" s="9">
        <v>22263</v>
      </c>
      <c r="C24" s="9">
        <v>219335480</v>
      </c>
    </row>
    <row r="25" spans="1:3" x14ac:dyDescent="0.3">
      <c r="A25" s="10">
        <v>2023</v>
      </c>
      <c r="B25" s="9">
        <v>6069</v>
      </c>
      <c r="C25" s="9">
        <v>54203325</v>
      </c>
    </row>
    <row r="26" spans="1:3" x14ac:dyDescent="0.3">
      <c r="A26" s="10">
        <v>2024</v>
      </c>
      <c r="B26" s="9">
        <v>12144</v>
      </c>
      <c r="C26" s="9">
        <v>99408627</v>
      </c>
    </row>
    <row r="27" spans="1:3" x14ac:dyDescent="0.3">
      <c r="A27" s="10">
        <v>2025</v>
      </c>
      <c r="B27" s="9">
        <v>4050</v>
      </c>
      <c r="C27" s="9">
        <v>65723528</v>
      </c>
    </row>
    <row r="28" spans="1:3" x14ac:dyDescent="0.3">
      <c r="A28" s="7" t="s">
        <v>49</v>
      </c>
      <c r="B28" s="9">
        <v>30354</v>
      </c>
      <c r="C28" s="9">
        <v>290649159</v>
      </c>
    </row>
    <row r="29" spans="1:3" x14ac:dyDescent="0.3">
      <c r="A29" s="10">
        <v>2023</v>
      </c>
      <c r="B29" s="9">
        <v>20230</v>
      </c>
      <c r="C29" s="9">
        <v>212786312</v>
      </c>
    </row>
    <row r="30" spans="1:3" x14ac:dyDescent="0.3">
      <c r="A30" s="10">
        <v>2024</v>
      </c>
      <c r="B30" s="9">
        <v>2024</v>
      </c>
      <c r="C30" s="9">
        <v>31474400</v>
      </c>
    </row>
    <row r="31" spans="1:3" x14ac:dyDescent="0.3">
      <c r="A31" s="10">
        <v>2025</v>
      </c>
      <c r="B31" s="9">
        <v>8100</v>
      </c>
      <c r="C31" s="9">
        <v>46388447</v>
      </c>
    </row>
    <row r="32" spans="1:3" x14ac:dyDescent="0.3">
      <c r="A32" s="7" t="s">
        <v>32</v>
      </c>
      <c r="B32" s="9">
        <v>32385</v>
      </c>
      <c r="C32" s="9">
        <v>327542633</v>
      </c>
    </row>
    <row r="33" spans="1:3" x14ac:dyDescent="0.3">
      <c r="A33" s="10">
        <v>2023</v>
      </c>
      <c r="B33" s="9">
        <v>10115</v>
      </c>
      <c r="C33" s="9">
        <v>60111120</v>
      </c>
    </row>
    <row r="34" spans="1:3" x14ac:dyDescent="0.3">
      <c r="A34" s="10">
        <v>2024</v>
      </c>
      <c r="B34" s="9">
        <v>10120</v>
      </c>
      <c r="C34" s="9">
        <v>85367599</v>
      </c>
    </row>
    <row r="35" spans="1:3" x14ac:dyDescent="0.3">
      <c r="A35" s="10">
        <v>2025</v>
      </c>
      <c r="B35" s="9">
        <v>12150</v>
      </c>
      <c r="C35" s="9">
        <v>182063914</v>
      </c>
    </row>
    <row r="36" spans="1:3" x14ac:dyDescent="0.3">
      <c r="A36" s="7" t="s">
        <v>205</v>
      </c>
      <c r="B36" s="9">
        <v>242881</v>
      </c>
      <c r="C36" s="9">
        <v>2496425368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7C6D-FD5D-4821-BB5F-3F3334B11456}">
  <dimension ref="A3:B51"/>
  <sheetViews>
    <sheetView workbookViewId="0">
      <selection activeCell="P19" sqref="P19"/>
    </sheetView>
  </sheetViews>
  <sheetFormatPr defaultRowHeight="14.4" x14ac:dyDescent="0.3"/>
  <cols>
    <col min="1" max="1" width="13.44140625" bestFit="1" customWidth="1"/>
    <col min="2" max="2" width="16.44140625" bestFit="1" customWidth="1"/>
  </cols>
  <sheetData>
    <row r="3" spans="1:2" x14ac:dyDescent="0.3">
      <c r="A3" s="6" t="s">
        <v>204</v>
      </c>
      <c r="B3" t="s">
        <v>208</v>
      </c>
    </row>
    <row r="4" spans="1:2" x14ac:dyDescent="0.3">
      <c r="A4" s="7" t="s">
        <v>36</v>
      </c>
      <c r="B4" s="9">
        <v>228454475</v>
      </c>
    </row>
    <row r="5" spans="1:2" x14ac:dyDescent="0.3">
      <c r="A5" s="10" t="s">
        <v>21</v>
      </c>
      <c r="B5" s="9">
        <v>40879803</v>
      </c>
    </row>
    <row r="6" spans="1:2" x14ac:dyDescent="0.3">
      <c r="A6" s="10" t="s">
        <v>16</v>
      </c>
      <c r="B6" s="9">
        <v>48253662</v>
      </c>
    </row>
    <row r="7" spans="1:2" x14ac:dyDescent="0.3">
      <c r="A7" s="10" t="s">
        <v>43</v>
      </c>
      <c r="B7" s="9">
        <v>29426313</v>
      </c>
    </row>
    <row r="8" spans="1:2" x14ac:dyDescent="0.3">
      <c r="A8" s="10" t="s">
        <v>27</v>
      </c>
      <c r="B8" s="9">
        <v>38166013</v>
      </c>
    </row>
    <row r="9" spans="1:2" x14ac:dyDescent="0.3">
      <c r="A9" s="10" t="s">
        <v>53</v>
      </c>
      <c r="B9" s="9">
        <v>71728684</v>
      </c>
    </row>
    <row r="10" spans="1:2" x14ac:dyDescent="0.3">
      <c r="A10" s="7" t="s">
        <v>45</v>
      </c>
      <c r="B10" s="9">
        <v>364701617</v>
      </c>
    </row>
    <row r="11" spans="1:2" x14ac:dyDescent="0.3">
      <c r="A11" s="10" t="s">
        <v>21</v>
      </c>
      <c r="B11" s="9">
        <v>100555091</v>
      </c>
    </row>
    <row r="12" spans="1:2" x14ac:dyDescent="0.3">
      <c r="A12" s="10" t="s">
        <v>16</v>
      </c>
      <c r="B12" s="9">
        <v>5847168</v>
      </c>
    </row>
    <row r="13" spans="1:2" x14ac:dyDescent="0.3">
      <c r="A13" s="10" t="s">
        <v>43</v>
      </c>
      <c r="B13" s="9">
        <v>104517882</v>
      </c>
    </row>
    <row r="14" spans="1:2" x14ac:dyDescent="0.3">
      <c r="A14" s="10" t="s">
        <v>27</v>
      </c>
      <c r="B14" s="9">
        <v>84858414</v>
      </c>
    </row>
    <row r="15" spans="1:2" x14ac:dyDescent="0.3">
      <c r="A15" s="10" t="s">
        <v>53</v>
      </c>
      <c r="B15" s="9">
        <v>68923062</v>
      </c>
    </row>
    <row r="16" spans="1:2" x14ac:dyDescent="0.3">
      <c r="A16" s="7" t="s">
        <v>47</v>
      </c>
      <c r="B16" s="9">
        <v>321635033</v>
      </c>
    </row>
    <row r="17" spans="1:2" x14ac:dyDescent="0.3">
      <c r="A17" s="10" t="s">
        <v>21</v>
      </c>
      <c r="B17" s="9">
        <v>173660231</v>
      </c>
    </row>
    <row r="18" spans="1:2" x14ac:dyDescent="0.3">
      <c r="A18" s="10" t="s">
        <v>16</v>
      </c>
      <c r="B18" s="9">
        <v>38093273</v>
      </c>
    </row>
    <row r="19" spans="1:2" x14ac:dyDescent="0.3">
      <c r="A19" s="10" t="s">
        <v>43</v>
      </c>
      <c r="B19" s="9">
        <v>36436647</v>
      </c>
    </row>
    <row r="20" spans="1:2" x14ac:dyDescent="0.3">
      <c r="A20" s="10" t="s">
        <v>27</v>
      </c>
      <c r="B20" s="9">
        <v>71470117</v>
      </c>
    </row>
    <row r="21" spans="1:2" x14ac:dyDescent="0.3">
      <c r="A21" s="10" t="s">
        <v>53</v>
      </c>
      <c r="B21" s="9">
        <v>1974765</v>
      </c>
    </row>
    <row r="22" spans="1:2" x14ac:dyDescent="0.3">
      <c r="A22" s="7" t="s">
        <v>13</v>
      </c>
      <c r="B22" s="9">
        <v>368050737</v>
      </c>
    </row>
    <row r="23" spans="1:2" x14ac:dyDescent="0.3">
      <c r="A23" s="10" t="s">
        <v>21</v>
      </c>
      <c r="B23" s="9">
        <v>111851739</v>
      </c>
    </row>
    <row r="24" spans="1:2" x14ac:dyDescent="0.3">
      <c r="A24" s="10" t="s">
        <v>16</v>
      </c>
      <c r="B24" s="9">
        <v>100665511</v>
      </c>
    </row>
    <row r="25" spans="1:2" x14ac:dyDescent="0.3">
      <c r="A25" s="10" t="s">
        <v>43</v>
      </c>
      <c r="B25" s="9">
        <v>40576684</v>
      </c>
    </row>
    <row r="26" spans="1:2" x14ac:dyDescent="0.3">
      <c r="A26" s="10" t="s">
        <v>27</v>
      </c>
      <c r="B26" s="9">
        <v>69035057</v>
      </c>
    </row>
    <row r="27" spans="1:2" x14ac:dyDescent="0.3">
      <c r="A27" s="10" t="s">
        <v>53</v>
      </c>
      <c r="B27" s="9">
        <v>45921746</v>
      </c>
    </row>
    <row r="28" spans="1:2" x14ac:dyDescent="0.3">
      <c r="A28" s="7" t="s">
        <v>25</v>
      </c>
      <c r="B28" s="9">
        <v>376056234</v>
      </c>
    </row>
    <row r="29" spans="1:2" x14ac:dyDescent="0.3">
      <c r="A29" s="10" t="s">
        <v>21</v>
      </c>
      <c r="B29" s="9">
        <v>26062661</v>
      </c>
    </row>
    <row r="30" spans="1:2" x14ac:dyDescent="0.3">
      <c r="A30" s="10" t="s">
        <v>16</v>
      </c>
      <c r="B30" s="9">
        <v>61699156</v>
      </c>
    </row>
    <row r="31" spans="1:2" x14ac:dyDescent="0.3">
      <c r="A31" s="10" t="s">
        <v>43</v>
      </c>
      <c r="B31" s="9">
        <v>43943133</v>
      </c>
    </row>
    <row r="32" spans="1:2" x14ac:dyDescent="0.3">
      <c r="A32" s="10" t="s">
        <v>27</v>
      </c>
      <c r="B32" s="9">
        <v>192842479</v>
      </c>
    </row>
    <row r="33" spans="1:2" x14ac:dyDescent="0.3">
      <c r="A33" s="10" t="s">
        <v>53</v>
      </c>
      <c r="B33" s="9">
        <v>51508805</v>
      </c>
    </row>
    <row r="34" spans="1:2" x14ac:dyDescent="0.3">
      <c r="A34" s="7" t="s">
        <v>40</v>
      </c>
      <c r="B34" s="9">
        <v>219335480</v>
      </c>
    </row>
    <row r="35" spans="1:2" x14ac:dyDescent="0.3">
      <c r="A35" s="10" t="s">
        <v>21</v>
      </c>
      <c r="B35" s="9">
        <v>48068959</v>
      </c>
    </row>
    <row r="36" spans="1:2" x14ac:dyDescent="0.3">
      <c r="A36" s="10" t="s">
        <v>16</v>
      </c>
      <c r="B36" s="9">
        <v>60612926</v>
      </c>
    </row>
    <row r="37" spans="1:2" x14ac:dyDescent="0.3">
      <c r="A37" s="10" t="s">
        <v>43</v>
      </c>
      <c r="B37" s="9">
        <v>6736988</v>
      </c>
    </row>
    <row r="38" spans="1:2" x14ac:dyDescent="0.3">
      <c r="A38" s="10" t="s">
        <v>27</v>
      </c>
      <c r="B38" s="9">
        <v>103916607</v>
      </c>
    </row>
    <row r="39" spans="1:2" x14ac:dyDescent="0.3">
      <c r="A39" s="7" t="s">
        <v>49</v>
      </c>
      <c r="B39" s="9">
        <v>290649159</v>
      </c>
    </row>
    <row r="40" spans="1:2" x14ac:dyDescent="0.3">
      <c r="A40" s="10" t="s">
        <v>21</v>
      </c>
      <c r="B40" s="9">
        <v>14999661</v>
      </c>
    </row>
    <row r="41" spans="1:2" x14ac:dyDescent="0.3">
      <c r="A41" s="10" t="s">
        <v>16</v>
      </c>
      <c r="B41" s="9">
        <v>59050234</v>
      </c>
    </row>
    <row r="42" spans="1:2" x14ac:dyDescent="0.3">
      <c r="A42" s="10" t="s">
        <v>43</v>
      </c>
      <c r="B42" s="9">
        <v>49153014</v>
      </c>
    </row>
    <row r="43" spans="1:2" x14ac:dyDescent="0.3">
      <c r="A43" s="10" t="s">
        <v>27</v>
      </c>
      <c r="B43" s="9">
        <v>140282120</v>
      </c>
    </row>
    <row r="44" spans="1:2" x14ac:dyDescent="0.3">
      <c r="A44" s="10" t="s">
        <v>53</v>
      </c>
      <c r="B44" s="9">
        <v>27164130</v>
      </c>
    </row>
    <row r="45" spans="1:2" x14ac:dyDescent="0.3">
      <c r="A45" s="7" t="s">
        <v>32</v>
      </c>
      <c r="B45" s="9">
        <v>327542633</v>
      </c>
    </row>
    <row r="46" spans="1:2" x14ac:dyDescent="0.3">
      <c r="A46" s="10" t="s">
        <v>21</v>
      </c>
      <c r="B46" s="9">
        <v>43846281</v>
      </c>
    </row>
    <row r="47" spans="1:2" x14ac:dyDescent="0.3">
      <c r="A47" s="10" t="s">
        <v>16</v>
      </c>
      <c r="B47" s="9">
        <v>141878159</v>
      </c>
    </row>
    <row r="48" spans="1:2" x14ac:dyDescent="0.3">
      <c r="A48" s="10" t="s">
        <v>43</v>
      </c>
      <c r="B48" s="9">
        <v>90303903</v>
      </c>
    </row>
    <row r="49" spans="1:2" x14ac:dyDescent="0.3">
      <c r="A49" s="10" t="s">
        <v>27</v>
      </c>
      <c r="B49" s="9">
        <v>26945200</v>
      </c>
    </row>
    <row r="50" spans="1:2" x14ac:dyDescent="0.3">
      <c r="A50" s="10" t="s">
        <v>53</v>
      </c>
      <c r="B50" s="9">
        <v>24569090</v>
      </c>
    </row>
    <row r="51" spans="1:2" x14ac:dyDescent="0.3">
      <c r="A51" s="7" t="s">
        <v>205</v>
      </c>
      <c r="B51" s="9">
        <v>2496425368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63A3-D225-48EA-9D1E-6BD6449F7C08}">
  <dimension ref="A3:B12"/>
  <sheetViews>
    <sheetView topLeftCell="C1" workbookViewId="0">
      <selection activeCell="P17" sqref="P17"/>
    </sheetView>
  </sheetViews>
  <sheetFormatPr defaultRowHeight="14.4" x14ac:dyDescent="0.3"/>
  <cols>
    <col min="1" max="1" width="12.5546875" bestFit="1" customWidth="1"/>
    <col min="2" max="2" width="22.33203125" bestFit="1" customWidth="1"/>
  </cols>
  <sheetData>
    <row r="3" spans="1:2" x14ac:dyDescent="0.3">
      <c r="A3" s="6" t="s">
        <v>204</v>
      </c>
      <c r="B3" t="s">
        <v>211</v>
      </c>
    </row>
    <row r="4" spans="1:2" x14ac:dyDescent="0.3">
      <c r="A4" s="7" t="s">
        <v>36</v>
      </c>
      <c r="B4" s="9">
        <v>251.59</v>
      </c>
    </row>
    <row r="5" spans="1:2" x14ac:dyDescent="0.3">
      <c r="A5" s="7" t="s">
        <v>45</v>
      </c>
      <c r="B5" s="9">
        <v>268.67</v>
      </c>
    </row>
    <row r="6" spans="1:2" x14ac:dyDescent="0.3">
      <c r="A6" s="7" t="s">
        <v>47</v>
      </c>
      <c r="B6" s="9">
        <v>267.32</v>
      </c>
    </row>
    <row r="7" spans="1:2" x14ac:dyDescent="0.3">
      <c r="A7" s="7" t="s">
        <v>13</v>
      </c>
      <c r="B7" s="9">
        <v>291.77999999999997</v>
      </c>
    </row>
    <row r="8" spans="1:2" x14ac:dyDescent="0.3">
      <c r="A8" s="7" t="s">
        <v>25</v>
      </c>
      <c r="B8" s="9">
        <v>377.70000000000005</v>
      </c>
    </row>
    <row r="9" spans="1:2" x14ac:dyDescent="0.3">
      <c r="A9" s="7" t="s">
        <v>40</v>
      </c>
      <c r="B9" s="9">
        <v>181.38</v>
      </c>
    </row>
    <row r="10" spans="1:2" x14ac:dyDescent="0.3">
      <c r="A10" s="7" t="s">
        <v>49</v>
      </c>
      <c r="B10" s="9">
        <v>270</v>
      </c>
    </row>
    <row r="11" spans="1:2" x14ac:dyDescent="0.3">
      <c r="A11" s="7" t="s">
        <v>32</v>
      </c>
      <c r="B11" s="9">
        <v>289.89</v>
      </c>
    </row>
    <row r="12" spans="1:2" x14ac:dyDescent="0.3">
      <c r="A12" s="7" t="s">
        <v>205</v>
      </c>
      <c r="B12" s="9">
        <v>2198.33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E8848-C967-44A0-9500-00882B1FD768}">
  <dimension ref="A1:H2"/>
  <sheetViews>
    <sheetView workbookViewId="0">
      <selection activeCell="H7" sqref="H7"/>
    </sheetView>
  </sheetViews>
  <sheetFormatPr defaultRowHeight="14.4" x14ac:dyDescent="0.3"/>
  <cols>
    <col min="1" max="1" width="10" bestFit="1" customWidth="1"/>
    <col min="3" max="3" width="10" bestFit="1" customWidth="1"/>
    <col min="5" max="8" width="10" bestFit="1" customWidth="1"/>
  </cols>
  <sheetData>
    <row r="1" spans="1:8" x14ac:dyDescent="0.3">
      <c r="A1" t="s">
        <v>13</v>
      </c>
      <c r="B1" t="s">
        <v>36</v>
      </c>
      <c r="C1" t="s">
        <v>45</v>
      </c>
      <c r="D1" t="s">
        <v>47</v>
      </c>
      <c r="E1" t="s">
        <v>40</v>
      </c>
      <c r="F1" t="s">
        <v>222</v>
      </c>
      <c r="G1" t="s">
        <v>32</v>
      </c>
      <c r="H1" t="s">
        <v>223</v>
      </c>
    </row>
    <row r="2" spans="1:8" x14ac:dyDescent="0.3">
      <c r="A2">
        <f>SUMIF(SalesData[Product Name],"Monitor",SalesData[Total Sales])</f>
        <v>368050737</v>
      </c>
      <c r="B2">
        <f>SUMIF('Sales Dataset'!B95:B121,"Chair",SalesData[Total Sales])</f>
        <v>7075200</v>
      </c>
      <c r="C2">
        <f>SUMIF('Sales Dataset'!B95:B121,"Desk",SalesData[Total Sales])</f>
        <v>151493446</v>
      </c>
      <c r="D2">
        <f>SUMIF('Sales Dataset'!B95:B121,"Laptop",SalesData[Total Sales])</f>
        <v>91379008</v>
      </c>
      <c r="E2">
        <f>SUMIF(SalesData[Product Name],"Pen",SalesData[Total Sales])</f>
        <v>219335480</v>
      </c>
      <c r="F2">
        <f>SUMIF(SalesData[Product Name],"Printer",SalesData[Total Sales])</f>
        <v>290649159</v>
      </c>
      <c r="G2">
        <f>SUMIF(SalesData[Product Name],"Smartphone",SalesData[Total Sales])</f>
        <v>327542633</v>
      </c>
      <c r="H2">
        <f>MAX(A2:G2)</f>
        <v>368050737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DE3ED-4EA3-4F5E-94C2-2E299819F9E0}">
  <dimension ref="D39:I50"/>
  <sheetViews>
    <sheetView showGridLines="0" topLeftCell="E30" workbookViewId="0">
      <selection activeCell="O57" sqref="O57"/>
    </sheetView>
  </sheetViews>
  <sheetFormatPr defaultRowHeight="14.4" x14ac:dyDescent="0.3"/>
  <cols>
    <col min="4" max="4" width="10" bestFit="1" customWidth="1"/>
    <col min="5" max="5" width="12.21875" customWidth="1"/>
  </cols>
  <sheetData>
    <row r="39" spans="4:5" ht="36.6" x14ac:dyDescent="0.7">
      <c r="D39" s="11"/>
    </row>
    <row r="44" spans="4:5" x14ac:dyDescent="0.3">
      <c r="E44" s="12"/>
    </row>
    <row r="50" spans="9:9" x14ac:dyDescent="0.3">
      <c r="I50"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50"/>
  <sheetViews>
    <sheetView workbookViewId="0">
      <selection sqref="A1:L121"/>
    </sheetView>
  </sheetViews>
  <sheetFormatPr defaultRowHeight="14.4" x14ac:dyDescent="0.3"/>
  <cols>
    <col min="1" max="2" width="22" style="15" customWidth="1"/>
    <col min="3" max="6" width="22" customWidth="1"/>
    <col min="7" max="8" width="23.88671875" customWidth="1"/>
    <col min="9" max="9" width="22.5546875" customWidth="1"/>
    <col min="10" max="10" width="22" customWidth="1"/>
    <col min="11" max="11" width="20.109375" customWidth="1"/>
    <col min="12" max="12" width="15.88671875" style="23" customWidth="1"/>
  </cols>
  <sheetData>
    <row r="1" spans="1:12" x14ac:dyDescent="0.3">
      <c r="A1" s="14" t="s">
        <v>54</v>
      </c>
      <c r="B1" s="14" t="s">
        <v>225</v>
      </c>
      <c r="C1" s="2" t="s">
        <v>55</v>
      </c>
      <c r="D1" s="2" t="s">
        <v>56</v>
      </c>
      <c r="E1" s="2" t="s">
        <v>57</v>
      </c>
      <c r="F1" s="2" t="s">
        <v>58</v>
      </c>
      <c r="G1" s="2" t="s">
        <v>59</v>
      </c>
      <c r="H1" s="2" t="s">
        <v>206</v>
      </c>
      <c r="I1" s="2" t="s">
        <v>60</v>
      </c>
      <c r="J1" s="2" t="s">
        <v>9</v>
      </c>
      <c r="K1" s="19" t="s">
        <v>358</v>
      </c>
      <c r="L1" s="22" t="s">
        <v>359</v>
      </c>
    </row>
    <row r="2" spans="1:12" x14ac:dyDescent="0.3">
      <c r="A2" s="15" t="s">
        <v>61</v>
      </c>
      <c r="B2" t="s">
        <v>226</v>
      </c>
      <c r="C2" t="s">
        <v>62</v>
      </c>
      <c r="D2" t="s">
        <v>63</v>
      </c>
      <c r="E2" t="s">
        <v>64</v>
      </c>
      <c r="F2" t="s">
        <v>65</v>
      </c>
      <c r="G2" t="s">
        <v>66</v>
      </c>
      <c r="I2" t="s">
        <v>67</v>
      </c>
      <c r="J2" t="s">
        <v>43</v>
      </c>
      <c r="K2" s="20">
        <v>88</v>
      </c>
      <c r="L2" s="23">
        <f>EmploymentData[[#This Row],[Performance Score]]*100/10050</f>
        <v>0.87562189054726369</v>
      </c>
    </row>
    <row r="3" spans="1:12" x14ac:dyDescent="0.3">
      <c r="A3" s="15" t="s">
        <v>68</v>
      </c>
      <c r="B3" t="s">
        <v>227</v>
      </c>
      <c r="C3" t="s">
        <v>62</v>
      </c>
      <c r="D3" t="s">
        <v>63</v>
      </c>
      <c r="E3" t="s">
        <v>69</v>
      </c>
      <c r="F3" t="s">
        <v>64</v>
      </c>
      <c r="G3" t="s">
        <v>70</v>
      </c>
      <c r="I3" t="s">
        <v>71</v>
      </c>
      <c r="J3" t="s">
        <v>21</v>
      </c>
      <c r="K3" s="20">
        <v>75</v>
      </c>
      <c r="L3" s="23">
        <f>EmploymentData[[#This Row],[Performance Score]]*100/10050</f>
        <v>0.74626865671641796</v>
      </c>
    </row>
    <row r="4" spans="1:12" x14ac:dyDescent="0.3">
      <c r="A4" s="15" t="s">
        <v>72</v>
      </c>
      <c r="B4" t="s">
        <v>228</v>
      </c>
      <c r="C4" t="s">
        <v>62</v>
      </c>
      <c r="D4" t="s">
        <v>63</v>
      </c>
      <c r="E4" t="s">
        <v>73</v>
      </c>
      <c r="F4" t="s">
        <v>74</v>
      </c>
      <c r="G4" t="s">
        <v>75</v>
      </c>
      <c r="I4" t="s">
        <v>76</v>
      </c>
      <c r="J4" t="s">
        <v>53</v>
      </c>
      <c r="K4" s="20">
        <v>82</v>
      </c>
      <c r="L4" s="23">
        <f>EmploymentData[[#This Row],[Performance Score]]*100/10050</f>
        <v>0.8159203980099502</v>
      </c>
    </row>
    <row r="5" spans="1:12" x14ac:dyDescent="0.3">
      <c r="A5" s="15" t="s">
        <v>77</v>
      </c>
      <c r="B5" t="s">
        <v>229</v>
      </c>
      <c r="C5" t="s">
        <v>62</v>
      </c>
      <c r="D5" t="s">
        <v>78</v>
      </c>
      <c r="E5" t="s">
        <v>79</v>
      </c>
      <c r="F5" t="s">
        <v>74</v>
      </c>
      <c r="G5" t="s">
        <v>70</v>
      </c>
      <c r="I5" t="s">
        <v>71</v>
      </c>
      <c r="J5" t="s">
        <v>27</v>
      </c>
      <c r="K5" s="20">
        <v>91</v>
      </c>
      <c r="L5" s="23">
        <f>EmploymentData[[#This Row],[Performance Score]]*100/10050</f>
        <v>0.90547263681592038</v>
      </c>
    </row>
    <row r="6" spans="1:12" x14ac:dyDescent="0.3">
      <c r="A6" s="15" t="s">
        <v>80</v>
      </c>
      <c r="B6" t="s">
        <v>230</v>
      </c>
      <c r="C6" t="s">
        <v>62</v>
      </c>
      <c r="D6" t="s">
        <v>81</v>
      </c>
      <c r="E6" t="s">
        <v>79</v>
      </c>
      <c r="F6" t="s">
        <v>65</v>
      </c>
      <c r="G6" t="s">
        <v>66</v>
      </c>
      <c r="I6" t="s">
        <v>82</v>
      </c>
      <c r="J6" t="s">
        <v>16</v>
      </c>
      <c r="K6" s="20">
        <v>85</v>
      </c>
      <c r="L6" s="23">
        <f>EmploymentData[[#This Row],[Performance Score]]*100/10050</f>
        <v>0.845771144278607</v>
      </c>
    </row>
    <row r="7" spans="1:12" x14ac:dyDescent="0.3">
      <c r="A7" s="15" t="s">
        <v>83</v>
      </c>
      <c r="B7" t="s">
        <v>231</v>
      </c>
      <c r="C7" t="s">
        <v>84</v>
      </c>
      <c r="D7" t="s">
        <v>85</v>
      </c>
      <c r="E7" t="s">
        <v>69</v>
      </c>
      <c r="F7" t="s">
        <v>74</v>
      </c>
      <c r="G7" t="s">
        <v>86</v>
      </c>
      <c r="I7" t="s">
        <v>67</v>
      </c>
      <c r="J7" t="s">
        <v>53</v>
      </c>
      <c r="K7" s="20">
        <v>79</v>
      </c>
      <c r="L7" s="23">
        <f>EmploymentData[[#This Row],[Performance Score]]*100/10050</f>
        <v>0.78606965174129351</v>
      </c>
    </row>
    <row r="8" spans="1:12" x14ac:dyDescent="0.3">
      <c r="A8" s="15" t="s">
        <v>87</v>
      </c>
      <c r="B8" t="s">
        <v>232</v>
      </c>
      <c r="C8" t="s">
        <v>84</v>
      </c>
      <c r="D8" t="s">
        <v>63</v>
      </c>
      <c r="E8" t="s">
        <v>88</v>
      </c>
      <c r="F8" t="s">
        <v>65</v>
      </c>
      <c r="G8" t="s">
        <v>89</v>
      </c>
      <c r="I8" t="s">
        <v>67</v>
      </c>
      <c r="J8" t="s">
        <v>27</v>
      </c>
      <c r="K8" s="20">
        <v>90</v>
      </c>
      <c r="L8" s="23">
        <f>EmploymentData[[#This Row],[Performance Score]]*100/10050</f>
        <v>0.89552238805970152</v>
      </c>
    </row>
    <row r="9" spans="1:12" x14ac:dyDescent="0.3">
      <c r="A9" s="15" t="s">
        <v>90</v>
      </c>
      <c r="B9" t="s">
        <v>233</v>
      </c>
      <c r="C9" t="s">
        <v>84</v>
      </c>
      <c r="D9" t="s">
        <v>63</v>
      </c>
      <c r="E9" t="s">
        <v>64</v>
      </c>
      <c r="F9" t="s">
        <v>65</v>
      </c>
      <c r="G9" t="s">
        <v>70</v>
      </c>
      <c r="I9" t="s">
        <v>82</v>
      </c>
      <c r="J9" t="s">
        <v>21</v>
      </c>
      <c r="K9" s="20">
        <v>73</v>
      </c>
      <c r="L9" s="23">
        <f>EmploymentData[[#This Row],[Performance Score]]*100/10050</f>
        <v>0.72636815920398012</v>
      </c>
    </row>
    <row r="10" spans="1:12" x14ac:dyDescent="0.3">
      <c r="A10" s="15" t="s">
        <v>91</v>
      </c>
      <c r="B10" t="s">
        <v>234</v>
      </c>
      <c r="C10" t="s">
        <v>62</v>
      </c>
      <c r="D10" t="s">
        <v>85</v>
      </c>
      <c r="E10" t="s">
        <v>79</v>
      </c>
      <c r="F10" t="s">
        <v>74</v>
      </c>
      <c r="G10" t="s">
        <v>66</v>
      </c>
      <c r="I10" t="s">
        <v>76</v>
      </c>
      <c r="J10" t="s">
        <v>53</v>
      </c>
      <c r="K10" s="20">
        <v>87</v>
      </c>
      <c r="L10" s="23">
        <f>EmploymentData[[#This Row],[Performance Score]]*100/10050</f>
        <v>0.86567164179104472</v>
      </c>
    </row>
    <row r="11" spans="1:12" x14ac:dyDescent="0.3">
      <c r="A11" s="15" t="s">
        <v>92</v>
      </c>
      <c r="B11" t="s">
        <v>235</v>
      </c>
      <c r="C11" t="s">
        <v>62</v>
      </c>
      <c r="D11" t="s">
        <v>81</v>
      </c>
      <c r="E11" t="s">
        <v>88</v>
      </c>
      <c r="F11" t="s">
        <v>74</v>
      </c>
      <c r="G11" t="s">
        <v>75</v>
      </c>
      <c r="I11" t="s">
        <v>76</v>
      </c>
      <c r="J11" t="s">
        <v>27</v>
      </c>
      <c r="K11" s="20">
        <v>80</v>
      </c>
      <c r="L11" s="23">
        <f>EmploymentData[[#This Row],[Performance Score]]*100/10050</f>
        <v>0.79601990049751248</v>
      </c>
    </row>
    <row r="12" spans="1:12" x14ac:dyDescent="0.3">
      <c r="A12" s="15" t="s">
        <v>93</v>
      </c>
      <c r="B12" t="s">
        <v>236</v>
      </c>
      <c r="C12" t="s">
        <v>84</v>
      </c>
      <c r="D12" t="s">
        <v>63</v>
      </c>
      <c r="E12" t="s">
        <v>69</v>
      </c>
      <c r="F12" t="s">
        <v>65</v>
      </c>
      <c r="G12" t="s">
        <v>66</v>
      </c>
      <c r="I12" t="s">
        <v>71</v>
      </c>
      <c r="J12" t="s">
        <v>53</v>
      </c>
      <c r="K12" s="20">
        <v>92</v>
      </c>
      <c r="L12" s="23">
        <f>EmploymentData[[#This Row],[Performance Score]]*100/10050</f>
        <v>0.91542288557213936</v>
      </c>
    </row>
    <row r="13" spans="1:12" x14ac:dyDescent="0.3">
      <c r="A13" s="15" t="s">
        <v>94</v>
      </c>
      <c r="B13" t="s">
        <v>237</v>
      </c>
      <c r="C13" t="s">
        <v>84</v>
      </c>
      <c r="D13" t="s">
        <v>63</v>
      </c>
      <c r="E13" t="s">
        <v>79</v>
      </c>
      <c r="F13" t="s">
        <v>65</v>
      </c>
      <c r="G13" t="s">
        <v>70</v>
      </c>
      <c r="I13" t="s">
        <v>82</v>
      </c>
      <c r="J13" t="s">
        <v>21</v>
      </c>
      <c r="K13" s="20">
        <v>77</v>
      </c>
      <c r="L13" s="23">
        <f>EmploymentData[[#This Row],[Performance Score]]*100/10050</f>
        <v>0.76616915422885568</v>
      </c>
    </row>
    <row r="14" spans="1:12" x14ac:dyDescent="0.3">
      <c r="A14" s="15" t="s">
        <v>95</v>
      </c>
      <c r="B14" t="s">
        <v>238</v>
      </c>
      <c r="C14" t="s">
        <v>62</v>
      </c>
      <c r="D14" t="s">
        <v>85</v>
      </c>
      <c r="E14" t="s">
        <v>64</v>
      </c>
      <c r="F14" t="s">
        <v>74</v>
      </c>
      <c r="G14" t="s">
        <v>75</v>
      </c>
      <c r="I14" t="s">
        <v>82</v>
      </c>
      <c r="J14" t="s">
        <v>16</v>
      </c>
      <c r="K14" s="20">
        <v>84</v>
      </c>
      <c r="L14" s="23">
        <f>EmploymentData[[#This Row],[Performance Score]]*100/10050</f>
        <v>0.83582089552238803</v>
      </c>
    </row>
    <row r="15" spans="1:12" x14ac:dyDescent="0.3">
      <c r="A15" s="15" t="s">
        <v>96</v>
      </c>
      <c r="B15" t="s">
        <v>239</v>
      </c>
      <c r="C15" t="s">
        <v>84</v>
      </c>
      <c r="D15" t="s">
        <v>63</v>
      </c>
      <c r="E15" t="s">
        <v>69</v>
      </c>
      <c r="F15" t="s">
        <v>97</v>
      </c>
      <c r="G15" t="s">
        <v>70</v>
      </c>
      <c r="I15" t="s">
        <v>71</v>
      </c>
      <c r="J15" t="s">
        <v>27</v>
      </c>
      <c r="K15" s="20">
        <v>89</v>
      </c>
      <c r="L15" s="23">
        <f>EmploymentData[[#This Row],[Performance Score]]*100/10050</f>
        <v>0.88557213930348255</v>
      </c>
    </row>
    <row r="16" spans="1:12" x14ac:dyDescent="0.3">
      <c r="A16" s="15" t="s">
        <v>98</v>
      </c>
      <c r="B16" t="s">
        <v>240</v>
      </c>
      <c r="C16" t="s">
        <v>62</v>
      </c>
      <c r="D16" t="s">
        <v>81</v>
      </c>
      <c r="E16" t="s">
        <v>73</v>
      </c>
      <c r="F16" t="s">
        <v>65</v>
      </c>
      <c r="G16" t="s">
        <v>75</v>
      </c>
      <c r="I16" t="s">
        <v>82</v>
      </c>
      <c r="J16" t="s">
        <v>16</v>
      </c>
      <c r="K16" s="20">
        <v>94</v>
      </c>
      <c r="L16" s="23">
        <f>EmploymentData[[#This Row],[Performance Score]]*100/10050</f>
        <v>0.93532338308457708</v>
      </c>
    </row>
    <row r="17" spans="1:12" x14ac:dyDescent="0.3">
      <c r="A17" s="15" t="s">
        <v>99</v>
      </c>
      <c r="B17" t="s">
        <v>241</v>
      </c>
      <c r="C17" t="s">
        <v>84</v>
      </c>
      <c r="D17" t="s">
        <v>63</v>
      </c>
      <c r="E17" t="s">
        <v>64</v>
      </c>
      <c r="F17" t="s">
        <v>97</v>
      </c>
      <c r="G17" t="s">
        <v>66</v>
      </c>
      <c r="I17" t="s">
        <v>67</v>
      </c>
      <c r="J17" t="s">
        <v>27</v>
      </c>
      <c r="K17" s="20">
        <v>78</v>
      </c>
      <c r="L17" s="23">
        <f>EmploymentData[[#This Row],[Performance Score]]*100/10050</f>
        <v>0.77611940298507465</v>
      </c>
    </row>
    <row r="18" spans="1:12" x14ac:dyDescent="0.3">
      <c r="A18" s="15" t="s">
        <v>100</v>
      </c>
      <c r="B18" t="s">
        <v>242</v>
      </c>
      <c r="C18" t="s">
        <v>84</v>
      </c>
      <c r="D18" t="s">
        <v>81</v>
      </c>
      <c r="E18" t="s">
        <v>79</v>
      </c>
      <c r="F18" t="s">
        <v>65</v>
      </c>
      <c r="G18" t="s">
        <v>66</v>
      </c>
      <c r="I18" t="s">
        <v>67</v>
      </c>
      <c r="J18" t="s">
        <v>43</v>
      </c>
      <c r="K18" s="20">
        <v>81</v>
      </c>
      <c r="L18" s="23">
        <f>EmploymentData[[#This Row],[Performance Score]]*100/10050</f>
        <v>0.80597014925373134</v>
      </c>
    </row>
    <row r="19" spans="1:12" x14ac:dyDescent="0.3">
      <c r="A19" s="15" t="s">
        <v>101</v>
      </c>
      <c r="B19" t="s">
        <v>243</v>
      </c>
      <c r="C19" t="s">
        <v>84</v>
      </c>
      <c r="D19" t="s">
        <v>63</v>
      </c>
      <c r="E19" t="s">
        <v>73</v>
      </c>
      <c r="F19" t="s">
        <v>74</v>
      </c>
      <c r="G19" t="s">
        <v>70</v>
      </c>
      <c r="I19" t="s">
        <v>67</v>
      </c>
      <c r="J19" t="s">
        <v>43</v>
      </c>
      <c r="K19" s="20">
        <v>76</v>
      </c>
      <c r="L19" s="23">
        <f>EmploymentData[[#This Row],[Performance Score]]*100/10050</f>
        <v>0.75621890547263682</v>
      </c>
    </row>
    <row r="20" spans="1:12" x14ac:dyDescent="0.3">
      <c r="A20" s="15" t="s">
        <v>102</v>
      </c>
      <c r="B20" t="s">
        <v>244</v>
      </c>
      <c r="C20" t="s">
        <v>62</v>
      </c>
      <c r="D20" t="s">
        <v>63</v>
      </c>
      <c r="E20" t="s">
        <v>88</v>
      </c>
      <c r="F20" t="s">
        <v>64</v>
      </c>
      <c r="G20" t="s">
        <v>86</v>
      </c>
      <c r="I20" t="s">
        <v>82</v>
      </c>
      <c r="J20" t="s">
        <v>21</v>
      </c>
      <c r="K20" s="20">
        <v>86</v>
      </c>
      <c r="L20" s="23">
        <f>EmploymentData[[#This Row],[Performance Score]]*100/10050</f>
        <v>0.85572139303482586</v>
      </c>
    </row>
    <row r="21" spans="1:12" x14ac:dyDescent="0.3">
      <c r="A21" s="15" t="s">
        <v>103</v>
      </c>
      <c r="B21" t="s">
        <v>245</v>
      </c>
      <c r="C21" t="s">
        <v>84</v>
      </c>
      <c r="D21" t="s">
        <v>81</v>
      </c>
      <c r="E21" t="s">
        <v>69</v>
      </c>
      <c r="F21" t="s">
        <v>97</v>
      </c>
      <c r="G21" t="s">
        <v>86</v>
      </c>
      <c r="I21" t="s">
        <v>82</v>
      </c>
      <c r="J21" t="s">
        <v>27</v>
      </c>
      <c r="K21" s="20">
        <v>88</v>
      </c>
      <c r="L21" s="23">
        <f>EmploymentData[[#This Row],[Performance Score]]*100/10050</f>
        <v>0.87562189054726369</v>
      </c>
    </row>
    <row r="22" spans="1:12" x14ac:dyDescent="0.3">
      <c r="A22" s="15" t="s">
        <v>104</v>
      </c>
      <c r="B22" t="s">
        <v>246</v>
      </c>
      <c r="C22" t="s">
        <v>84</v>
      </c>
      <c r="D22" t="s">
        <v>81</v>
      </c>
      <c r="E22" t="s">
        <v>88</v>
      </c>
      <c r="F22" t="s">
        <v>64</v>
      </c>
      <c r="G22" t="s">
        <v>89</v>
      </c>
      <c r="I22" t="s">
        <v>82</v>
      </c>
      <c r="J22" t="s">
        <v>43</v>
      </c>
      <c r="K22" s="20">
        <v>88</v>
      </c>
      <c r="L22" s="23">
        <f>EmploymentData[[#This Row],[Performance Score]]*100/10050</f>
        <v>0.87562189054726369</v>
      </c>
    </row>
    <row r="23" spans="1:12" x14ac:dyDescent="0.3">
      <c r="A23" s="15" t="s">
        <v>105</v>
      </c>
      <c r="B23" t="s">
        <v>247</v>
      </c>
      <c r="C23" t="s">
        <v>84</v>
      </c>
      <c r="D23" t="s">
        <v>78</v>
      </c>
      <c r="E23" t="s">
        <v>73</v>
      </c>
      <c r="F23" t="s">
        <v>65</v>
      </c>
      <c r="G23" t="s">
        <v>66</v>
      </c>
      <c r="I23" t="s">
        <v>76</v>
      </c>
      <c r="J23" t="s">
        <v>16</v>
      </c>
      <c r="K23" s="20">
        <v>75</v>
      </c>
      <c r="L23" s="23">
        <f>EmploymentData[[#This Row],[Performance Score]]*100/10050</f>
        <v>0.74626865671641796</v>
      </c>
    </row>
    <row r="24" spans="1:12" x14ac:dyDescent="0.3">
      <c r="A24" s="15" t="s">
        <v>106</v>
      </c>
      <c r="B24" t="s">
        <v>248</v>
      </c>
      <c r="C24" t="s">
        <v>84</v>
      </c>
      <c r="D24" t="s">
        <v>63</v>
      </c>
      <c r="E24" t="s">
        <v>88</v>
      </c>
      <c r="F24" t="s">
        <v>64</v>
      </c>
      <c r="G24" t="s">
        <v>75</v>
      </c>
      <c r="I24" t="s">
        <v>82</v>
      </c>
      <c r="J24" t="s">
        <v>16</v>
      </c>
      <c r="K24" s="20">
        <v>82</v>
      </c>
      <c r="L24" s="23">
        <f>EmploymentData[[#This Row],[Performance Score]]*100/10050</f>
        <v>0.8159203980099502</v>
      </c>
    </row>
    <row r="25" spans="1:12" x14ac:dyDescent="0.3">
      <c r="A25" s="15" t="s">
        <v>107</v>
      </c>
      <c r="B25" t="s">
        <v>249</v>
      </c>
      <c r="C25" t="s">
        <v>84</v>
      </c>
      <c r="D25" t="s">
        <v>78</v>
      </c>
      <c r="E25" t="s">
        <v>73</v>
      </c>
      <c r="F25" t="s">
        <v>65</v>
      </c>
      <c r="G25" t="s">
        <v>66</v>
      </c>
      <c r="I25" t="s">
        <v>76</v>
      </c>
      <c r="J25" t="s">
        <v>27</v>
      </c>
      <c r="K25" s="20">
        <v>91</v>
      </c>
      <c r="L25" s="23">
        <f>EmploymentData[[#This Row],[Performance Score]]*100/10050</f>
        <v>0.90547263681592038</v>
      </c>
    </row>
    <row r="26" spans="1:12" x14ac:dyDescent="0.3">
      <c r="A26" s="15" t="s">
        <v>108</v>
      </c>
      <c r="B26" t="s">
        <v>250</v>
      </c>
      <c r="C26" t="s">
        <v>62</v>
      </c>
      <c r="D26" t="s">
        <v>81</v>
      </c>
      <c r="E26" t="s">
        <v>88</v>
      </c>
      <c r="F26" t="s">
        <v>64</v>
      </c>
      <c r="G26" t="s">
        <v>66</v>
      </c>
      <c r="I26" t="s">
        <v>67</v>
      </c>
      <c r="J26" t="s">
        <v>53</v>
      </c>
      <c r="K26" s="20">
        <v>85</v>
      </c>
      <c r="L26" s="23">
        <f>EmploymentData[[#This Row],[Performance Score]]*100/10050</f>
        <v>0.845771144278607</v>
      </c>
    </row>
    <row r="27" spans="1:12" x14ac:dyDescent="0.3">
      <c r="A27" s="15" t="s">
        <v>109</v>
      </c>
      <c r="B27" t="s">
        <v>251</v>
      </c>
      <c r="C27" t="s">
        <v>84</v>
      </c>
      <c r="D27" t="s">
        <v>63</v>
      </c>
      <c r="E27" t="s">
        <v>69</v>
      </c>
      <c r="F27" t="s">
        <v>64</v>
      </c>
      <c r="G27" t="s">
        <v>89</v>
      </c>
      <c r="I27" t="s">
        <v>76</v>
      </c>
      <c r="J27" t="s">
        <v>53</v>
      </c>
      <c r="K27" s="20">
        <v>79</v>
      </c>
      <c r="L27" s="23">
        <f>EmploymentData[[#This Row],[Performance Score]]*100/10050</f>
        <v>0.78606965174129351</v>
      </c>
    </row>
    <row r="28" spans="1:12" x14ac:dyDescent="0.3">
      <c r="A28" s="15" t="s">
        <v>110</v>
      </c>
      <c r="B28" t="s">
        <v>252</v>
      </c>
      <c r="C28" t="s">
        <v>62</v>
      </c>
      <c r="D28" t="s">
        <v>78</v>
      </c>
      <c r="E28" t="s">
        <v>69</v>
      </c>
      <c r="F28" t="s">
        <v>64</v>
      </c>
      <c r="G28" t="s">
        <v>86</v>
      </c>
      <c r="I28" t="s">
        <v>67</v>
      </c>
      <c r="J28" t="s">
        <v>27</v>
      </c>
      <c r="K28" s="20">
        <v>90</v>
      </c>
      <c r="L28" s="23">
        <f>EmploymentData[[#This Row],[Performance Score]]*100/10050</f>
        <v>0.89552238805970152</v>
      </c>
    </row>
    <row r="29" spans="1:12" x14ac:dyDescent="0.3">
      <c r="A29" s="15" t="s">
        <v>111</v>
      </c>
      <c r="B29" t="s">
        <v>253</v>
      </c>
      <c r="C29" t="s">
        <v>84</v>
      </c>
      <c r="D29" t="s">
        <v>78</v>
      </c>
      <c r="E29" t="s">
        <v>69</v>
      </c>
      <c r="F29" t="s">
        <v>74</v>
      </c>
      <c r="G29" t="s">
        <v>75</v>
      </c>
      <c r="I29" t="s">
        <v>71</v>
      </c>
      <c r="J29" t="s">
        <v>27</v>
      </c>
      <c r="K29" s="20">
        <v>73</v>
      </c>
      <c r="L29" s="23">
        <f>EmploymentData[[#This Row],[Performance Score]]*100/10050</f>
        <v>0.72636815920398012</v>
      </c>
    </row>
    <row r="30" spans="1:12" x14ac:dyDescent="0.3">
      <c r="A30" s="15" t="s">
        <v>112</v>
      </c>
      <c r="B30" t="s">
        <v>254</v>
      </c>
      <c r="C30" t="s">
        <v>84</v>
      </c>
      <c r="D30" t="s">
        <v>81</v>
      </c>
      <c r="E30" t="s">
        <v>88</v>
      </c>
      <c r="F30" t="s">
        <v>64</v>
      </c>
      <c r="G30" t="s">
        <v>75</v>
      </c>
      <c r="I30" t="s">
        <v>82</v>
      </c>
      <c r="J30" t="s">
        <v>27</v>
      </c>
      <c r="K30" s="20">
        <v>87</v>
      </c>
      <c r="L30" s="23">
        <f>EmploymentData[[#This Row],[Performance Score]]*100/10050</f>
        <v>0.86567164179104472</v>
      </c>
    </row>
    <row r="31" spans="1:12" x14ac:dyDescent="0.3">
      <c r="A31" s="15" t="s">
        <v>113</v>
      </c>
      <c r="B31" t="s">
        <v>255</v>
      </c>
      <c r="C31" t="s">
        <v>84</v>
      </c>
      <c r="D31" t="s">
        <v>63</v>
      </c>
      <c r="E31" t="s">
        <v>69</v>
      </c>
      <c r="F31" t="s">
        <v>97</v>
      </c>
      <c r="G31" t="s">
        <v>66</v>
      </c>
      <c r="I31" t="s">
        <v>71</v>
      </c>
      <c r="J31" t="s">
        <v>16</v>
      </c>
      <c r="K31" s="20">
        <v>80</v>
      </c>
      <c r="L31" s="23">
        <f>EmploymentData[[#This Row],[Performance Score]]*100/10050</f>
        <v>0.79601990049751248</v>
      </c>
    </row>
    <row r="32" spans="1:12" x14ac:dyDescent="0.3">
      <c r="A32" s="15" t="s">
        <v>114</v>
      </c>
      <c r="B32" t="s">
        <v>256</v>
      </c>
      <c r="C32" t="s">
        <v>62</v>
      </c>
      <c r="D32" t="s">
        <v>85</v>
      </c>
      <c r="E32" t="s">
        <v>69</v>
      </c>
      <c r="F32" t="s">
        <v>65</v>
      </c>
      <c r="G32" t="s">
        <v>75</v>
      </c>
      <c r="I32" t="s">
        <v>82</v>
      </c>
      <c r="J32" t="s">
        <v>53</v>
      </c>
      <c r="K32" s="20">
        <v>92</v>
      </c>
      <c r="L32" s="23">
        <f>EmploymentData[[#This Row],[Performance Score]]*100/10050</f>
        <v>0.91542288557213936</v>
      </c>
    </row>
    <row r="33" spans="1:12" x14ac:dyDescent="0.3">
      <c r="A33" s="15" t="s">
        <v>115</v>
      </c>
      <c r="B33" t="s">
        <v>257</v>
      </c>
      <c r="C33" t="s">
        <v>62</v>
      </c>
      <c r="D33" t="s">
        <v>78</v>
      </c>
      <c r="E33" t="s">
        <v>79</v>
      </c>
      <c r="F33" t="s">
        <v>64</v>
      </c>
      <c r="G33" t="s">
        <v>70</v>
      </c>
      <c r="I33" t="s">
        <v>76</v>
      </c>
      <c r="J33" t="s">
        <v>16</v>
      </c>
      <c r="K33" s="20">
        <v>77</v>
      </c>
      <c r="L33" s="23">
        <f>EmploymentData[[#This Row],[Performance Score]]*100/10050</f>
        <v>0.76616915422885568</v>
      </c>
    </row>
    <row r="34" spans="1:12" x14ac:dyDescent="0.3">
      <c r="A34" s="15" t="s">
        <v>116</v>
      </c>
      <c r="B34" t="s">
        <v>258</v>
      </c>
      <c r="C34" t="s">
        <v>84</v>
      </c>
      <c r="D34" t="s">
        <v>78</v>
      </c>
      <c r="E34" t="s">
        <v>79</v>
      </c>
      <c r="F34" t="s">
        <v>65</v>
      </c>
      <c r="G34" t="s">
        <v>66</v>
      </c>
      <c r="I34" t="s">
        <v>82</v>
      </c>
      <c r="J34" t="s">
        <v>16</v>
      </c>
      <c r="K34" s="20">
        <v>84</v>
      </c>
      <c r="L34" s="23">
        <f>EmploymentData[[#This Row],[Performance Score]]*100/10050</f>
        <v>0.83582089552238803</v>
      </c>
    </row>
    <row r="35" spans="1:12" x14ac:dyDescent="0.3">
      <c r="A35" s="15" t="s">
        <v>117</v>
      </c>
      <c r="B35" t="s">
        <v>259</v>
      </c>
      <c r="C35" t="s">
        <v>84</v>
      </c>
      <c r="D35" t="s">
        <v>63</v>
      </c>
      <c r="E35" t="s">
        <v>64</v>
      </c>
      <c r="F35" t="s">
        <v>74</v>
      </c>
      <c r="G35" t="s">
        <v>70</v>
      </c>
      <c r="I35" t="s">
        <v>71</v>
      </c>
      <c r="J35" t="s">
        <v>21</v>
      </c>
      <c r="K35" s="20">
        <v>89</v>
      </c>
      <c r="L35" s="23">
        <f>EmploymentData[[#This Row],[Performance Score]]*100/10050</f>
        <v>0.88557213930348255</v>
      </c>
    </row>
    <row r="36" spans="1:12" x14ac:dyDescent="0.3">
      <c r="A36" s="15" t="s">
        <v>118</v>
      </c>
      <c r="B36" t="s">
        <v>260</v>
      </c>
      <c r="C36" t="s">
        <v>84</v>
      </c>
      <c r="D36" t="s">
        <v>85</v>
      </c>
      <c r="E36" t="s">
        <v>64</v>
      </c>
      <c r="F36" t="s">
        <v>64</v>
      </c>
      <c r="G36" t="s">
        <v>86</v>
      </c>
      <c r="I36" t="s">
        <v>82</v>
      </c>
      <c r="J36" t="s">
        <v>27</v>
      </c>
      <c r="K36" s="20">
        <v>94</v>
      </c>
      <c r="L36" s="23">
        <f>EmploymentData[[#This Row],[Performance Score]]*100/10050</f>
        <v>0.93532338308457708</v>
      </c>
    </row>
    <row r="37" spans="1:12" x14ac:dyDescent="0.3">
      <c r="A37" s="15" t="s">
        <v>119</v>
      </c>
      <c r="B37" t="s">
        <v>261</v>
      </c>
      <c r="C37" t="s">
        <v>62</v>
      </c>
      <c r="D37" t="s">
        <v>63</v>
      </c>
      <c r="E37" t="s">
        <v>79</v>
      </c>
      <c r="F37" t="s">
        <v>97</v>
      </c>
      <c r="G37" t="s">
        <v>75</v>
      </c>
      <c r="I37" t="s">
        <v>67</v>
      </c>
      <c r="J37" t="s">
        <v>27</v>
      </c>
      <c r="K37" s="20">
        <v>78</v>
      </c>
      <c r="L37" s="23">
        <f>EmploymentData[[#This Row],[Performance Score]]*100/10050</f>
        <v>0.77611940298507465</v>
      </c>
    </row>
    <row r="38" spans="1:12" x14ac:dyDescent="0.3">
      <c r="A38" s="15" t="s">
        <v>120</v>
      </c>
      <c r="B38" t="s">
        <v>262</v>
      </c>
      <c r="C38" t="s">
        <v>62</v>
      </c>
      <c r="D38" t="s">
        <v>85</v>
      </c>
      <c r="E38" t="s">
        <v>73</v>
      </c>
      <c r="F38" t="s">
        <v>65</v>
      </c>
      <c r="G38" t="s">
        <v>66</v>
      </c>
      <c r="I38" t="s">
        <v>82</v>
      </c>
      <c r="J38" t="s">
        <v>21</v>
      </c>
      <c r="K38" s="20">
        <v>81</v>
      </c>
      <c r="L38" s="23">
        <f>EmploymentData[[#This Row],[Performance Score]]*100/10050</f>
        <v>0.80597014925373134</v>
      </c>
    </row>
    <row r="39" spans="1:12" x14ac:dyDescent="0.3">
      <c r="A39" s="15" t="s">
        <v>121</v>
      </c>
      <c r="B39" t="s">
        <v>263</v>
      </c>
      <c r="C39" t="s">
        <v>62</v>
      </c>
      <c r="D39" t="s">
        <v>63</v>
      </c>
      <c r="E39" t="s">
        <v>73</v>
      </c>
      <c r="F39" t="s">
        <v>97</v>
      </c>
      <c r="G39" t="s">
        <v>75</v>
      </c>
      <c r="I39" t="s">
        <v>71</v>
      </c>
      <c r="J39" t="s">
        <v>21</v>
      </c>
      <c r="K39" s="20">
        <v>76</v>
      </c>
      <c r="L39" s="23">
        <f>EmploymentData[[#This Row],[Performance Score]]*100/10050</f>
        <v>0.75621890547263682</v>
      </c>
    </row>
    <row r="40" spans="1:12" x14ac:dyDescent="0.3">
      <c r="A40" s="15" t="s">
        <v>122</v>
      </c>
      <c r="B40" t="s">
        <v>264</v>
      </c>
      <c r="C40" t="s">
        <v>62</v>
      </c>
      <c r="D40" t="s">
        <v>63</v>
      </c>
      <c r="E40" t="s">
        <v>69</v>
      </c>
      <c r="F40" t="s">
        <v>64</v>
      </c>
      <c r="G40" t="s">
        <v>75</v>
      </c>
      <c r="I40" t="s">
        <v>67</v>
      </c>
      <c r="J40" t="s">
        <v>21</v>
      </c>
      <c r="K40" s="20">
        <v>86</v>
      </c>
      <c r="L40" s="23">
        <f>EmploymentData[[#This Row],[Performance Score]]*100/10050</f>
        <v>0.85572139303482586</v>
      </c>
    </row>
    <row r="41" spans="1:12" x14ac:dyDescent="0.3">
      <c r="A41" s="15" t="s">
        <v>123</v>
      </c>
      <c r="B41" t="s">
        <v>265</v>
      </c>
      <c r="C41" t="s">
        <v>84</v>
      </c>
      <c r="D41" t="s">
        <v>81</v>
      </c>
      <c r="E41" t="s">
        <v>69</v>
      </c>
      <c r="F41" t="s">
        <v>97</v>
      </c>
      <c r="G41" t="s">
        <v>70</v>
      </c>
      <c r="I41" t="s">
        <v>82</v>
      </c>
      <c r="J41" t="s">
        <v>27</v>
      </c>
      <c r="K41" s="20">
        <v>88</v>
      </c>
      <c r="L41" s="23">
        <f>EmploymentData[[#This Row],[Performance Score]]*100/10050</f>
        <v>0.87562189054726369</v>
      </c>
    </row>
    <row r="42" spans="1:12" x14ac:dyDescent="0.3">
      <c r="A42" s="15" t="s">
        <v>124</v>
      </c>
      <c r="B42" t="s">
        <v>266</v>
      </c>
      <c r="C42" t="s">
        <v>84</v>
      </c>
      <c r="D42" t="s">
        <v>78</v>
      </c>
      <c r="E42" t="s">
        <v>64</v>
      </c>
      <c r="F42" t="s">
        <v>65</v>
      </c>
      <c r="G42" t="s">
        <v>89</v>
      </c>
      <c r="I42" t="s">
        <v>67</v>
      </c>
      <c r="J42" t="s">
        <v>16</v>
      </c>
      <c r="K42" s="20">
        <v>88</v>
      </c>
      <c r="L42" s="23">
        <f>EmploymentData[[#This Row],[Performance Score]]*100/10050</f>
        <v>0.87562189054726369</v>
      </c>
    </row>
    <row r="43" spans="1:12" x14ac:dyDescent="0.3">
      <c r="A43" s="15" t="s">
        <v>125</v>
      </c>
      <c r="B43" t="s">
        <v>267</v>
      </c>
      <c r="C43" t="s">
        <v>62</v>
      </c>
      <c r="D43" t="s">
        <v>81</v>
      </c>
      <c r="E43" t="s">
        <v>73</v>
      </c>
      <c r="F43" t="s">
        <v>64</v>
      </c>
      <c r="G43" t="s">
        <v>66</v>
      </c>
      <c r="I43" t="s">
        <v>76</v>
      </c>
      <c r="J43" t="s">
        <v>27</v>
      </c>
      <c r="K43" s="20">
        <v>75</v>
      </c>
      <c r="L43" s="23">
        <f>EmploymentData[[#This Row],[Performance Score]]*100/10050</f>
        <v>0.74626865671641796</v>
      </c>
    </row>
    <row r="44" spans="1:12" x14ac:dyDescent="0.3">
      <c r="A44" s="15" t="s">
        <v>126</v>
      </c>
      <c r="B44" t="s">
        <v>268</v>
      </c>
      <c r="C44" t="s">
        <v>84</v>
      </c>
      <c r="D44" t="s">
        <v>81</v>
      </c>
      <c r="E44" t="s">
        <v>64</v>
      </c>
      <c r="F44" t="s">
        <v>65</v>
      </c>
      <c r="G44" t="s">
        <v>70</v>
      </c>
      <c r="I44" t="s">
        <v>71</v>
      </c>
      <c r="J44" t="s">
        <v>43</v>
      </c>
      <c r="K44" s="20">
        <v>82</v>
      </c>
      <c r="L44" s="23">
        <f>EmploymentData[[#This Row],[Performance Score]]*100/10050</f>
        <v>0.8159203980099502</v>
      </c>
    </row>
    <row r="45" spans="1:12" x14ac:dyDescent="0.3">
      <c r="A45" s="15" t="s">
        <v>127</v>
      </c>
      <c r="B45" t="s">
        <v>269</v>
      </c>
      <c r="C45" t="s">
        <v>84</v>
      </c>
      <c r="D45" t="s">
        <v>78</v>
      </c>
      <c r="E45" t="s">
        <v>88</v>
      </c>
      <c r="F45" t="s">
        <v>74</v>
      </c>
      <c r="G45" t="s">
        <v>66</v>
      </c>
      <c r="I45" t="s">
        <v>67</v>
      </c>
      <c r="J45" t="s">
        <v>16</v>
      </c>
      <c r="K45" s="20">
        <v>91</v>
      </c>
      <c r="L45" s="23">
        <f>EmploymentData[[#This Row],[Performance Score]]*100/10050</f>
        <v>0.90547263681592038</v>
      </c>
    </row>
    <row r="46" spans="1:12" x14ac:dyDescent="0.3">
      <c r="A46" s="15" t="s">
        <v>128</v>
      </c>
      <c r="B46" t="s">
        <v>270</v>
      </c>
      <c r="C46" t="s">
        <v>84</v>
      </c>
      <c r="D46" t="s">
        <v>85</v>
      </c>
      <c r="E46" t="s">
        <v>79</v>
      </c>
      <c r="F46" t="s">
        <v>65</v>
      </c>
      <c r="G46" t="s">
        <v>75</v>
      </c>
      <c r="I46" t="s">
        <v>67</v>
      </c>
      <c r="J46" t="s">
        <v>53</v>
      </c>
      <c r="K46" s="20">
        <v>85</v>
      </c>
      <c r="L46" s="23">
        <f>EmploymentData[[#This Row],[Performance Score]]*100/10050</f>
        <v>0.845771144278607</v>
      </c>
    </row>
    <row r="47" spans="1:12" x14ac:dyDescent="0.3">
      <c r="A47" s="15" t="s">
        <v>129</v>
      </c>
      <c r="B47" t="s">
        <v>271</v>
      </c>
      <c r="C47" t="s">
        <v>84</v>
      </c>
      <c r="D47" t="s">
        <v>63</v>
      </c>
      <c r="E47" t="s">
        <v>69</v>
      </c>
      <c r="F47" t="s">
        <v>64</v>
      </c>
      <c r="G47" t="s">
        <v>70</v>
      </c>
      <c r="I47" t="s">
        <v>82</v>
      </c>
      <c r="J47" t="s">
        <v>21</v>
      </c>
      <c r="K47" s="20">
        <v>79</v>
      </c>
      <c r="L47" s="23">
        <f>EmploymentData[[#This Row],[Performance Score]]*100/10050</f>
        <v>0.78606965174129351</v>
      </c>
    </row>
    <row r="48" spans="1:12" x14ac:dyDescent="0.3">
      <c r="A48" s="15" t="s">
        <v>130</v>
      </c>
      <c r="B48" t="s">
        <v>272</v>
      </c>
      <c r="C48" t="s">
        <v>62</v>
      </c>
      <c r="D48" t="s">
        <v>85</v>
      </c>
      <c r="E48" t="s">
        <v>69</v>
      </c>
      <c r="F48" t="s">
        <v>97</v>
      </c>
      <c r="G48" t="s">
        <v>75</v>
      </c>
      <c r="I48" t="s">
        <v>71</v>
      </c>
      <c r="J48" t="s">
        <v>21</v>
      </c>
      <c r="K48" s="20">
        <v>90</v>
      </c>
      <c r="L48" s="23">
        <f>EmploymentData[[#This Row],[Performance Score]]*100/10050</f>
        <v>0.89552238805970152</v>
      </c>
    </row>
    <row r="49" spans="1:12" x14ac:dyDescent="0.3">
      <c r="A49" s="15" t="s">
        <v>131</v>
      </c>
      <c r="B49" t="s">
        <v>273</v>
      </c>
      <c r="C49" t="s">
        <v>84</v>
      </c>
      <c r="D49" t="s">
        <v>81</v>
      </c>
      <c r="E49" t="s">
        <v>79</v>
      </c>
      <c r="F49" t="s">
        <v>64</v>
      </c>
      <c r="G49" t="s">
        <v>70</v>
      </c>
      <c r="I49" t="s">
        <v>71</v>
      </c>
      <c r="J49" t="s">
        <v>21</v>
      </c>
      <c r="K49" s="20">
        <v>73</v>
      </c>
      <c r="L49" s="23">
        <f>EmploymentData[[#This Row],[Performance Score]]*100/10050</f>
        <v>0.72636815920398012</v>
      </c>
    </row>
    <row r="50" spans="1:12" x14ac:dyDescent="0.3">
      <c r="A50" s="15" t="s">
        <v>132</v>
      </c>
      <c r="B50" t="s">
        <v>274</v>
      </c>
      <c r="C50" t="s">
        <v>84</v>
      </c>
      <c r="D50" t="s">
        <v>63</v>
      </c>
      <c r="E50" t="s">
        <v>73</v>
      </c>
      <c r="F50" t="s">
        <v>65</v>
      </c>
      <c r="G50" t="s">
        <v>75</v>
      </c>
      <c r="I50" t="s">
        <v>82</v>
      </c>
      <c r="J50" t="s">
        <v>27</v>
      </c>
      <c r="K50" s="20">
        <v>87</v>
      </c>
      <c r="L50" s="23">
        <f>EmploymentData[[#This Row],[Performance Score]]*100/10050</f>
        <v>0.86567164179104472</v>
      </c>
    </row>
    <row r="51" spans="1:12" x14ac:dyDescent="0.3">
      <c r="A51" s="15" t="s">
        <v>133</v>
      </c>
      <c r="B51" t="s">
        <v>275</v>
      </c>
      <c r="C51" t="s">
        <v>84</v>
      </c>
      <c r="D51" t="s">
        <v>81</v>
      </c>
      <c r="E51" t="s">
        <v>64</v>
      </c>
      <c r="F51" t="s">
        <v>65</v>
      </c>
      <c r="G51" t="s">
        <v>89</v>
      </c>
      <c r="I51" t="s">
        <v>71</v>
      </c>
      <c r="J51" t="s">
        <v>21</v>
      </c>
      <c r="K51" s="20">
        <v>80</v>
      </c>
      <c r="L51" s="23">
        <f>EmploymentData[[#This Row],[Performance Score]]*100/10050</f>
        <v>0.79601990049751248</v>
      </c>
    </row>
    <row r="52" spans="1:12" x14ac:dyDescent="0.3">
      <c r="A52" s="15" t="s">
        <v>134</v>
      </c>
      <c r="B52" t="s">
        <v>276</v>
      </c>
      <c r="C52" t="s">
        <v>62</v>
      </c>
      <c r="D52" t="s">
        <v>85</v>
      </c>
      <c r="E52" t="s">
        <v>79</v>
      </c>
      <c r="F52" t="s">
        <v>64</v>
      </c>
      <c r="G52" t="s">
        <v>75</v>
      </c>
      <c r="I52" t="s">
        <v>76</v>
      </c>
      <c r="J52" t="s">
        <v>27</v>
      </c>
      <c r="K52" s="20">
        <v>92</v>
      </c>
      <c r="L52" s="23">
        <f>EmploymentData[[#This Row],[Performance Score]]*100/10050</f>
        <v>0.91542288557213936</v>
      </c>
    </row>
    <row r="53" spans="1:12" x14ac:dyDescent="0.3">
      <c r="A53" s="15" t="s">
        <v>135</v>
      </c>
      <c r="B53" t="s">
        <v>277</v>
      </c>
      <c r="C53" t="s">
        <v>84</v>
      </c>
      <c r="D53" t="s">
        <v>81</v>
      </c>
      <c r="E53" t="s">
        <v>79</v>
      </c>
      <c r="F53" t="s">
        <v>65</v>
      </c>
      <c r="G53" t="s">
        <v>70</v>
      </c>
      <c r="I53" t="s">
        <v>76</v>
      </c>
      <c r="J53" t="s">
        <v>53</v>
      </c>
      <c r="K53" s="20">
        <v>77</v>
      </c>
      <c r="L53" s="23">
        <f>EmploymentData[[#This Row],[Performance Score]]*100/10050</f>
        <v>0.76616915422885568</v>
      </c>
    </row>
    <row r="54" spans="1:12" x14ac:dyDescent="0.3">
      <c r="A54" s="15" t="s">
        <v>136</v>
      </c>
      <c r="B54" t="s">
        <v>278</v>
      </c>
      <c r="C54" t="s">
        <v>62</v>
      </c>
      <c r="D54" t="s">
        <v>63</v>
      </c>
      <c r="E54" t="s">
        <v>69</v>
      </c>
      <c r="F54" t="s">
        <v>97</v>
      </c>
      <c r="G54" t="s">
        <v>86</v>
      </c>
      <c r="I54" t="s">
        <v>82</v>
      </c>
      <c r="J54" t="s">
        <v>16</v>
      </c>
      <c r="K54" s="20">
        <v>84</v>
      </c>
      <c r="L54" s="23">
        <f>EmploymentData[[#This Row],[Performance Score]]*100/10050</f>
        <v>0.83582089552238803</v>
      </c>
    </row>
    <row r="55" spans="1:12" x14ac:dyDescent="0.3">
      <c r="A55" s="15" t="s">
        <v>137</v>
      </c>
      <c r="B55" t="s">
        <v>279</v>
      </c>
      <c r="C55" t="s">
        <v>62</v>
      </c>
      <c r="D55" t="s">
        <v>81</v>
      </c>
      <c r="E55" t="s">
        <v>88</v>
      </c>
      <c r="F55" t="s">
        <v>64</v>
      </c>
      <c r="G55" t="s">
        <v>66</v>
      </c>
      <c r="I55" t="s">
        <v>76</v>
      </c>
      <c r="J55" t="s">
        <v>27</v>
      </c>
      <c r="K55" s="20">
        <v>89</v>
      </c>
      <c r="L55" s="23">
        <f>EmploymentData[[#This Row],[Performance Score]]*100/10050</f>
        <v>0.88557213930348255</v>
      </c>
    </row>
    <row r="56" spans="1:12" x14ac:dyDescent="0.3">
      <c r="A56" s="15" t="s">
        <v>138</v>
      </c>
      <c r="B56" t="s">
        <v>280</v>
      </c>
      <c r="C56" t="s">
        <v>62</v>
      </c>
      <c r="D56" t="s">
        <v>85</v>
      </c>
      <c r="E56" t="s">
        <v>69</v>
      </c>
      <c r="F56" t="s">
        <v>74</v>
      </c>
      <c r="G56" t="s">
        <v>75</v>
      </c>
      <c r="I56" t="s">
        <v>71</v>
      </c>
      <c r="J56" t="s">
        <v>53</v>
      </c>
      <c r="K56" s="20">
        <v>94</v>
      </c>
      <c r="L56" s="23">
        <f>EmploymentData[[#This Row],[Performance Score]]*100/10050</f>
        <v>0.93532338308457708</v>
      </c>
    </row>
    <row r="57" spans="1:12" x14ac:dyDescent="0.3">
      <c r="A57" s="15" t="s">
        <v>139</v>
      </c>
      <c r="B57" t="s">
        <v>281</v>
      </c>
      <c r="C57" t="s">
        <v>62</v>
      </c>
      <c r="D57" t="s">
        <v>81</v>
      </c>
      <c r="E57" t="s">
        <v>88</v>
      </c>
      <c r="F57" t="s">
        <v>64</v>
      </c>
      <c r="G57" t="s">
        <v>70</v>
      </c>
      <c r="I57" t="s">
        <v>71</v>
      </c>
      <c r="J57" t="s">
        <v>21</v>
      </c>
      <c r="K57" s="20">
        <v>78</v>
      </c>
      <c r="L57" s="23">
        <f>EmploymentData[[#This Row],[Performance Score]]*100/10050</f>
        <v>0.77611940298507465</v>
      </c>
    </row>
    <row r="58" spans="1:12" x14ac:dyDescent="0.3">
      <c r="A58" s="15" t="s">
        <v>140</v>
      </c>
      <c r="B58" t="s">
        <v>282</v>
      </c>
      <c r="C58" t="s">
        <v>84</v>
      </c>
      <c r="D58" t="s">
        <v>63</v>
      </c>
      <c r="E58" t="s">
        <v>79</v>
      </c>
      <c r="F58" t="s">
        <v>65</v>
      </c>
      <c r="G58" t="s">
        <v>89</v>
      </c>
      <c r="I58" t="s">
        <v>71</v>
      </c>
      <c r="J58" t="s">
        <v>53</v>
      </c>
      <c r="K58" s="20">
        <v>81</v>
      </c>
      <c r="L58" s="23">
        <f>EmploymentData[[#This Row],[Performance Score]]*100/10050</f>
        <v>0.80597014925373134</v>
      </c>
    </row>
    <row r="59" spans="1:12" x14ac:dyDescent="0.3">
      <c r="A59" s="15" t="s">
        <v>141</v>
      </c>
      <c r="B59" t="s">
        <v>283</v>
      </c>
      <c r="C59" t="s">
        <v>62</v>
      </c>
      <c r="D59" t="s">
        <v>78</v>
      </c>
      <c r="E59" t="s">
        <v>73</v>
      </c>
      <c r="F59" t="s">
        <v>74</v>
      </c>
      <c r="G59" t="s">
        <v>86</v>
      </c>
      <c r="I59" t="s">
        <v>76</v>
      </c>
      <c r="J59" t="s">
        <v>16</v>
      </c>
      <c r="K59" s="20">
        <v>76</v>
      </c>
      <c r="L59" s="23">
        <f>EmploymentData[[#This Row],[Performance Score]]*100/10050</f>
        <v>0.75621890547263682</v>
      </c>
    </row>
    <row r="60" spans="1:12" x14ac:dyDescent="0.3">
      <c r="A60" s="15" t="s">
        <v>142</v>
      </c>
      <c r="B60" t="s">
        <v>284</v>
      </c>
      <c r="C60" t="s">
        <v>84</v>
      </c>
      <c r="D60" t="s">
        <v>85</v>
      </c>
      <c r="E60" t="s">
        <v>79</v>
      </c>
      <c r="F60" t="s">
        <v>64</v>
      </c>
      <c r="G60" t="s">
        <v>75</v>
      </c>
      <c r="I60" t="s">
        <v>76</v>
      </c>
      <c r="J60" t="s">
        <v>43</v>
      </c>
      <c r="K60" s="20">
        <v>86</v>
      </c>
      <c r="L60" s="23">
        <f>EmploymentData[[#This Row],[Performance Score]]*100/10050</f>
        <v>0.85572139303482586</v>
      </c>
    </row>
    <row r="61" spans="1:12" x14ac:dyDescent="0.3">
      <c r="A61" s="15" t="s">
        <v>143</v>
      </c>
      <c r="B61" t="s">
        <v>285</v>
      </c>
      <c r="C61" t="s">
        <v>62</v>
      </c>
      <c r="D61" t="s">
        <v>85</v>
      </c>
      <c r="E61" t="s">
        <v>73</v>
      </c>
      <c r="F61" t="s">
        <v>65</v>
      </c>
      <c r="G61" t="s">
        <v>66</v>
      </c>
      <c r="I61" t="s">
        <v>82</v>
      </c>
      <c r="J61" t="s">
        <v>21</v>
      </c>
      <c r="K61" s="20">
        <v>88</v>
      </c>
      <c r="L61" s="23">
        <f>EmploymentData[[#This Row],[Performance Score]]*100/10050</f>
        <v>0.87562189054726369</v>
      </c>
    </row>
    <row r="62" spans="1:12" x14ac:dyDescent="0.3">
      <c r="A62" s="15" t="s">
        <v>144</v>
      </c>
      <c r="B62"/>
      <c r="C62" t="s">
        <v>62</v>
      </c>
      <c r="D62" t="s">
        <v>63</v>
      </c>
      <c r="E62" t="s">
        <v>64</v>
      </c>
      <c r="F62" t="s">
        <v>64</v>
      </c>
      <c r="G62" t="s">
        <v>75</v>
      </c>
      <c r="I62" t="s">
        <v>67</v>
      </c>
      <c r="J62" t="s">
        <v>21</v>
      </c>
      <c r="K62" s="20">
        <v>88</v>
      </c>
      <c r="L62" s="23">
        <f>EmploymentData[[#This Row],[Performance Score]]*100/10050</f>
        <v>0.87562189054726369</v>
      </c>
    </row>
    <row r="63" spans="1:12" x14ac:dyDescent="0.3">
      <c r="A63" s="15" t="s">
        <v>145</v>
      </c>
      <c r="B63" t="s">
        <v>225</v>
      </c>
      <c r="C63" t="s">
        <v>62</v>
      </c>
      <c r="D63" t="s">
        <v>81</v>
      </c>
      <c r="E63" t="s">
        <v>88</v>
      </c>
      <c r="F63" t="s">
        <v>74</v>
      </c>
      <c r="G63" t="s">
        <v>89</v>
      </c>
      <c r="I63" t="s">
        <v>71</v>
      </c>
      <c r="J63" t="s">
        <v>21</v>
      </c>
      <c r="K63" s="20">
        <v>75</v>
      </c>
      <c r="L63" s="23">
        <f>EmploymentData[[#This Row],[Performance Score]]*100/10050</f>
        <v>0.74626865671641796</v>
      </c>
    </row>
    <row r="64" spans="1:12" x14ac:dyDescent="0.3">
      <c r="A64" s="15" t="s">
        <v>146</v>
      </c>
      <c r="B64" t="s">
        <v>286</v>
      </c>
      <c r="C64" t="s">
        <v>62</v>
      </c>
      <c r="D64" t="s">
        <v>63</v>
      </c>
      <c r="E64" t="s">
        <v>79</v>
      </c>
      <c r="F64" t="s">
        <v>74</v>
      </c>
      <c r="G64" t="s">
        <v>70</v>
      </c>
      <c r="I64" t="s">
        <v>76</v>
      </c>
      <c r="J64" t="s">
        <v>16</v>
      </c>
      <c r="K64" s="20">
        <v>82</v>
      </c>
      <c r="L64" s="23">
        <f>EmploymentData[[#This Row],[Performance Score]]*100/10050</f>
        <v>0.8159203980099502</v>
      </c>
    </row>
    <row r="65" spans="1:12" x14ac:dyDescent="0.3">
      <c r="A65" s="15" t="s">
        <v>147</v>
      </c>
      <c r="B65" t="s">
        <v>287</v>
      </c>
      <c r="C65" t="s">
        <v>62</v>
      </c>
      <c r="D65" t="s">
        <v>85</v>
      </c>
      <c r="E65" t="s">
        <v>69</v>
      </c>
      <c r="F65" t="s">
        <v>97</v>
      </c>
      <c r="G65" t="s">
        <v>66</v>
      </c>
      <c r="I65" t="s">
        <v>71</v>
      </c>
      <c r="J65" t="s">
        <v>53</v>
      </c>
      <c r="K65" s="20">
        <v>91</v>
      </c>
      <c r="L65" s="23">
        <f>EmploymentData[[#This Row],[Performance Score]]*100/10050</f>
        <v>0.90547263681592038</v>
      </c>
    </row>
    <row r="66" spans="1:12" x14ac:dyDescent="0.3">
      <c r="A66" s="15" t="s">
        <v>148</v>
      </c>
      <c r="B66" t="s">
        <v>288</v>
      </c>
      <c r="C66" t="s">
        <v>62</v>
      </c>
      <c r="D66" t="s">
        <v>63</v>
      </c>
      <c r="E66" t="s">
        <v>69</v>
      </c>
      <c r="F66" t="s">
        <v>97</v>
      </c>
      <c r="G66" t="s">
        <v>66</v>
      </c>
      <c r="I66" t="s">
        <v>67</v>
      </c>
      <c r="J66" t="s">
        <v>21</v>
      </c>
      <c r="K66" s="20">
        <v>85</v>
      </c>
      <c r="L66" s="23">
        <f>EmploymentData[[#This Row],[Performance Score]]*100/10050</f>
        <v>0.845771144278607</v>
      </c>
    </row>
    <row r="67" spans="1:12" x14ac:dyDescent="0.3">
      <c r="A67" s="15" t="s">
        <v>149</v>
      </c>
      <c r="B67" t="s">
        <v>289</v>
      </c>
      <c r="C67" t="s">
        <v>84</v>
      </c>
      <c r="D67" t="s">
        <v>63</v>
      </c>
      <c r="E67" t="s">
        <v>73</v>
      </c>
      <c r="F67" t="s">
        <v>74</v>
      </c>
      <c r="G67" t="s">
        <v>75</v>
      </c>
      <c r="I67" t="s">
        <v>76</v>
      </c>
      <c r="J67" t="s">
        <v>27</v>
      </c>
      <c r="K67" s="20">
        <v>79</v>
      </c>
      <c r="L67" s="23">
        <f>EmploymentData[[#This Row],[Performance Score]]*100/10050</f>
        <v>0.78606965174129351</v>
      </c>
    </row>
    <row r="68" spans="1:12" x14ac:dyDescent="0.3">
      <c r="A68" s="15" t="s">
        <v>150</v>
      </c>
      <c r="B68" t="s">
        <v>290</v>
      </c>
      <c r="C68" t="s">
        <v>84</v>
      </c>
      <c r="D68" t="s">
        <v>85</v>
      </c>
      <c r="E68" t="s">
        <v>64</v>
      </c>
      <c r="F68" t="s">
        <v>74</v>
      </c>
      <c r="G68" t="s">
        <v>70</v>
      </c>
      <c r="I68" t="s">
        <v>71</v>
      </c>
      <c r="J68" t="s">
        <v>53</v>
      </c>
      <c r="K68" s="20">
        <v>90</v>
      </c>
      <c r="L68" s="23">
        <f>EmploymentData[[#This Row],[Performance Score]]*100/10050</f>
        <v>0.89552238805970152</v>
      </c>
    </row>
    <row r="69" spans="1:12" x14ac:dyDescent="0.3">
      <c r="A69" s="15" t="s">
        <v>151</v>
      </c>
      <c r="B69" t="s">
        <v>291</v>
      </c>
      <c r="C69" t="s">
        <v>62</v>
      </c>
      <c r="D69" t="s">
        <v>78</v>
      </c>
      <c r="E69" t="s">
        <v>79</v>
      </c>
      <c r="F69" t="s">
        <v>65</v>
      </c>
      <c r="G69" t="s">
        <v>89</v>
      </c>
      <c r="I69" t="s">
        <v>82</v>
      </c>
      <c r="J69" t="s">
        <v>27</v>
      </c>
      <c r="K69" s="20">
        <v>73</v>
      </c>
      <c r="L69" s="23">
        <f>EmploymentData[[#This Row],[Performance Score]]*100/10050</f>
        <v>0.72636815920398012</v>
      </c>
    </row>
    <row r="70" spans="1:12" x14ac:dyDescent="0.3">
      <c r="A70" s="15" t="s">
        <v>152</v>
      </c>
      <c r="B70" t="s">
        <v>292</v>
      </c>
      <c r="C70" t="s">
        <v>84</v>
      </c>
      <c r="D70" t="s">
        <v>85</v>
      </c>
      <c r="E70" t="s">
        <v>88</v>
      </c>
      <c r="F70" t="s">
        <v>65</v>
      </c>
      <c r="G70" t="s">
        <v>89</v>
      </c>
      <c r="I70" t="s">
        <v>82</v>
      </c>
      <c r="J70" t="s">
        <v>21</v>
      </c>
      <c r="K70" s="20">
        <v>87</v>
      </c>
      <c r="L70" s="23">
        <f>EmploymentData[[#This Row],[Performance Score]]*100/10050</f>
        <v>0.86567164179104472</v>
      </c>
    </row>
    <row r="71" spans="1:12" x14ac:dyDescent="0.3">
      <c r="A71" s="15" t="s">
        <v>153</v>
      </c>
      <c r="B71" t="s">
        <v>293</v>
      </c>
      <c r="C71" t="s">
        <v>84</v>
      </c>
      <c r="D71" t="s">
        <v>63</v>
      </c>
      <c r="E71" t="s">
        <v>79</v>
      </c>
      <c r="F71" t="s">
        <v>64</v>
      </c>
      <c r="G71" t="s">
        <v>89</v>
      </c>
      <c r="I71" t="s">
        <v>82</v>
      </c>
      <c r="J71" t="s">
        <v>16</v>
      </c>
      <c r="K71" s="20">
        <v>80</v>
      </c>
      <c r="L71" s="23">
        <f>EmploymentData[[#This Row],[Performance Score]]*100/10050</f>
        <v>0.79601990049751248</v>
      </c>
    </row>
    <row r="72" spans="1:12" x14ac:dyDescent="0.3">
      <c r="A72" s="15" t="s">
        <v>154</v>
      </c>
      <c r="B72" t="s">
        <v>294</v>
      </c>
      <c r="C72" t="s">
        <v>84</v>
      </c>
      <c r="D72" t="s">
        <v>63</v>
      </c>
      <c r="E72" t="s">
        <v>88</v>
      </c>
      <c r="F72" t="s">
        <v>74</v>
      </c>
      <c r="G72" t="s">
        <v>70</v>
      </c>
      <c r="I72" t="s">
        <v>76</v>
      </c>
      <c r="J72" t="s">
        <v>16</v>
      </c>
      <c r="K72" s="20">
        <v>92</v>
      </c>
      <c r="L72" s="23">
        <f>EmploymentData[[#This Row],[Performance Score]]*100/10050</f>
        <v>0.91542288557213936</v>
      </c>
    </row>
    <row r="73" spans="1:12" x14ac:dyDescent="0.3">
      <c r="A73" s="15" t="s">
        <v>155</v>
      </c>
      <c r="B73" t="s">
        <v>295</v>
      </c>
      <c r="C73" t="s">
        <v>84</v>
      </c>
      <c r="D73" t="s">
        <v>85</v>
      </c>
      <c r="E73" t="s">
        <v>88</v>
      </c>
      <c r="F73" t="s">
        <v>74</v>
      </c>
      <c r="G73" t="s">
        <v>86</v>
      </c>
      <c r="I73" t="s">
        <v>71</v>
      </c>
      <c r="J73" t="s">
        <v>16</v>
      </c>
      <c r="K73" s="20">
        <v>77</v>
      </c>
      <c r="L73" s="23">
        <f>EmploymentData[[#This Row],[Performance Score]]*100/10050</f>
        <v>0.76616915422885568</v>
      </c>
    </row>
    <row r="74" spans="1:12" x14ac:dyDescent="0.3">
      <c r="A74" s="15" t="s">
        <v>156</v>
      </c>
      <c r="B74" t="s">
        <v>296</v>
      </c>
      <c r="C74" t="s">
        <v>84</v>
      </c>
      <c r="D74" t="s">
        <v>78</v>
      </c>
      <c r="E74" t="s">
        <v>88</v>
      </c>
      <c r="F74" t="s">
        <v>97</v>
      </c>
      <c r="G74" t="s">
        <v>89</v>
      </c>
      <c r="I74" t="s">
        <v>76</v>
      </c>
      <c r="J74" t="s">
        <v>16</v>
      </c>
      <c r="K74" s="20">
        <v>84</v>
      </c>
      <c r="L74" s="23">
        <f>EmploymentData[[#This Row],[Performance Score]]*100/10050</f>
        <v>0.83582089552238803</v>
      </c>
    </row>
    <row r="75" spans="1:12" x14ac:dyDescent="0.3">
      <c r="A75" s="15" t="s">
        <v>157</v>
      </c>
      <c r="B75" t="s">
        <v>297</v>
      </c>
      <c r="C75" t="s">
        <v>62</v>
      </c>
      <c r="D75" t="s">
        <v>78</v>
      </c>
      <c r="E75" t="s">
        <v>69</v>
      </c>
      <c r="F75" t="s">
        <v>74</v>
      </c>
      <c r="G75" t="s">
        <v>66</v>
      </c>
      <c r="I75" t="s">
        <v>76</v>
      </c>
      <c r="J75" t="s">
        <v>21</v>
      </c>
      <c r="K75" s="20">
        <v>89</v>
      </c>
      <c r="L75" s="23">
        <f>EmploymentData[[#This Row],[Performance Score]]*100/10050</f>
        <v>0.88557213930348255</v>
      </c>
    </row>
    <row r="76" spans="1:12" x14ac:dyDescent="0.3">
      <c r="A76" s="15" t="s">
        <v>158</v>
      </c>
      <c r="B76" t="s">
        <v>298</v>
      </c>
      <c r="C76" t="s">
        <v>84</v>
      </c>
      <c r="D76" t="s">
        <v>85</v>
      </c>
      <c r="E76" t="s">
        <v>64</v>
      </c>
      <c r="F76" t="s">
        <v>64</v>
      </c>
      <c r="G76" t="s">
        <v>89</v>
      </c>
      <c r="I76" t="s">
        <v>71</v>
      </c>
      <c r="J76" t="s">
        <v>43</v>
      </c>
      <c r="K76" s="20">
        <v>94</v>
      </c>
      <c r="L76" s="23">
        <f>EmploymentData[[#This Row],[Performance Score]]*100/10050</f>
        <v>0.93532338308457708</v>
      </c>
    </row>
    <row r="77" spans="1:12" x14ac:dyDescent="0.3">
      <c r="A77" s="15" t="s">
        <v>159</v>
      </c>
      <c r="B77" t="s">
        <v>299</v>
      </c>
      <c r="C77" t="s">
        <v>84</v>
      </c>
      <c r="D77" t="s">
        <v>85</v>
      </c>
      <c r="E77" t="s">
        <v>79</v>
      </c>
      <c r="F77" t="s">
        <v>74</v>
      </c>
      <c r="G77" t="s">
        <v>66</v>
      </c>
      <c r="I77" t="s">
        <v>76</v>
      </c>
      <c r="J77" t="s">
        <v>16</v>
      </c>
      <c r="K77" s="20">
        <v>78</v>
      </c>
      <c r="L77" s="23">
        <f>EmploymentData[[#This Row],[Performance Score]]*100/10050</f>
        <v>0.77611940298507465</v>
      </c>
    </row>
    <row r="78" spans="1:12" x14ac:dyDescent="0.3">
      <c r="A78" s="15" t="s">
        <v>160</v>
      </c>
      <c r="B78" t="s">
        <v>300</v>
      </c>
      <c r="C78" t="s">
        <v>62</v>
      </c>
      <c r="D78" t="s">
        <v>81</v>
      </c>
      <c r="E78" t="s">
        <v>69</v>
      </c>
      <c r="F78" t="s">
        <v>64</v>
      </c>
      <c r="G78" t="s">
        <v>70</v>
      </c>
      <c r="I78" t="s">
        <v>82</v>
      </c>
      <c r="J78" t="s">
        <v>27</v>
      </c>
      <c r="K78" s="20">
        <v>81</v>
      </c>
      <c r="L78" s="23">
        <f>EmploymentData[[#This Row],[Performance Score]]*100/10050</f>
        <v>0.80597014925373134</v>
      </c>
    </row>
    <row r="79" spans="1:12" x14ac:dyDescent="0.3">
      <c r="A79" s="15" t="s">
        <v>161</v>
      </c>
      <c r="B79" t="s">
        <v>301</v>
      </c>
      <c r="C79" t="s">
        <v>62</v>
      </c>
      <c r="D79" t="s">
        <v>81</v>
      </c>
      <c r="E79" t="s">
        <v>88</v>
      </c>
      <c r="F79" t="s">
        <v>65</v>
      </c>
      <c r="G79" t="s">
        <v>70</v>
      </c>
      <c r="I79" t="s">
        <v>82</v>
      </c>
      <c r="J79" t="s">
        <v>21</v>
      </c>
      <c r="K79" s="20">
        <v>76</v>
      </c>
      <c r="L79" s="23">
        <f>EmploymentData[[#This Row],[Performance Score]]*100/10050</f>
        <v>0.75621890547263682</v>
      </c>
    </row>
    <row r="80" spans="1:12" x14ac:dyDescent="0.3">
      <c r="A80" s="15" t="s">
        <v>162</v>
      </c>
      <c r="B80" t="s">
        <v>302</v>
      </c>
      <c r="C80" t="s">
        <v>84</v>
      </c>
      <c r="D80" t="s">
        <v>78</v>
      </c>
      <c r="E80" t="s">
        <v>88</v>
      </c>
      <c r="F80" t="s">
        <v>64</v>
      </c>
      <c r="G80" t="s">
        <v>75</v>
      </c>
      <c r="I80" t="s">
        <v>82</v>
      </c>
      <c r="J80" t="s">
        <v>27</v>
      </c>
      <c r="K80" s="20">
        <v>86</v>
      </c>
      <c r="L80" s="23">
        <f>EmploymentData[[#This Row],[Performance Score]]*100/10050</f>
        <v>0.85572139303482586</v>
      </c>
    </row>
    <row r="81" spans="1:12" x14ac:dyDescent="0.3">
      <c r="A81" s="15" t="s">
        <v>163</v>
      </c>
      <c r="B81" t="s">
        <v>303</v>
      </c>
      <c r="C81" t="s">
        <v>84</v>
      </c>
      <c r="D81" t="s">
        <v>85</v>
      </c>
      <c r="E81" t="s">
        <v>88</v>
      </c>
      <c r="F81" t="s">
        <v>97</v>
      </c>
      <c r="G81" t="s">
        <v>75</v>
      </c>
      <c r="I81" t="s">
        <v>67</v>
      </c>
      <c r="J81" t="s">
        <v>53</v>
      </c>
      <c r="K81" s="20">
        <v>88</v>
      </c>
      <c r="L81" s="23">
        <f>EmploymentData[[#This Row],[Performance Score]]*100/10050</f>
        <v>0.87562189054726369</v>
      </c>
    </row>
    <row r="82" spans="1:12" x14ac:dyDescent="0.3">
      <c r="A82" s="15" t="s">
        <v>164</v>
      </c>
      <c r="B82" t="s">
        <v>304</v>
      </c>
      <c r="C82" t="s">
        <v>84</v>
      </c>
      <c r="D82" t="s">
        <v>85</v>
      </c>
      <c r="E82" t="s">
        <v>88</v>
      </c>
      <c r="F82" t="s">
        <v>64</v>
      </c>
      <c r="G82" t="s">
        <v>86</v>
      </c>
      <c r="I82" t="s">
        <v>67</v>
      </c>
      <c r="J82" t="s">
        <v>27</v>
      </c>
      <c r="K82" s="20">
        <v>88</v>
      </c>
      <c r="L82" s="23">
        <f>EmploymentData[[#This Row],[Performance Score]]*100/10050</f>
        <v>0.87562189054726369</v>
      </c>
    </row>
    <row r="83" spans="1:12" x14ac:dyDescent="0.3">
      <c r="A83" s="15" t="s">
        <v>165</v>
      </c>
      <c r="B83" t="s">
        <v>305</v>
      </c>
      <c r="C83" t="s">
        <v>84</v>
      </c>
      <c r="D83" t="s">
        <v>81</v>
      </c>
      <c r="E83" t="s">
        <v>64</v>
      </c>
      <c r="F83" t="s">
        <v>74</v>
      </c>
      <c r="G83" t="s">
        <v>75</v>
      </c>
      <c r="I83" t="s">
        <v>82</v>
      </c>
      <c r="J83" t="s">
        <v>16</v>
      </c>
      <c r="K83" s="20">
        <v>75</v>
      </c>
      <c r="L83" s="23">
        <f>EmploymentData[[#This Row],[Performance Score]]*100/10050</f>
        <v>0.74626865671641796</v>
      </c>
    </row>
    <row r="84" spans="1:12" x14ac:dyDescent="0.3">
      <c r="A84" s="15" t="s">
        <v>166</v>
      </c>
      <c r="B84" t="s">
        <v>306</v>
      </c>
      <c r="C84" t="s">
        <v>84</v>
      </c>
      <c r="D84" t="s">
        <v>78</v>
      </c>
      <c r="E84" t="s">
        <v>64</v>
      </c>
      <c r="F84" t="s">
        <v>64</v>
      </c>
      <c r="G84" t="s">
        <v>89</v>
      </c>
      <c r="I84" t="s">
        <v>67</v>
      </c>
      <c r="J84" t="s">
        <v>21</v>
      </c>
      <c r="K84" s="20">
        <v>82</v>
      </c>
      <c r="L84" s="23">
        <f>EmploymentData[[#This Row],[Performance Score]]*100/10050</f>
        <v>0.8159203980099502</v>
      </c>
    </row>
    <row r="85" spans="1:12" x14ac:dyDescent="0.3">
      <c r="A85" s="15" t="s">
        <v>167</v>
      </c>
      <c r="B85" t="s">
        <v>307</v>
      </c>
      <c r="C85" t="s">
        <v>84</v>
      </c>
      <c r="D85" t="s">
        <v>85</v>
      </c>
      <c r="E85" t="s">
        <v>73</v>
      </c>
      <c r="F85" t="s">
        <v>64</v>
      </c>
      <c r="G85" t="s">
        <v>66</v>
      </c>
      <c r="I85" t="s">
        <v>71</v>
      </c>
      <c r="J85" t="s">
        <v>27</v>
      </c>
      <c r="K85" s="20">
        <v>91</v>
      </c>
      <c r="L85" s="23">
        <f>EmploymentData[[#This Row],[Performance Score]]*100/10050</f>
        <v>0.90547263681592038</v>
      </c>
    </row>
    <row r="86" spans="1:12" x14ac:dyDescent="0.3">
      <c r="A86" s="15" t="s">
        <v>168</v>
      </c>
      <c r="B86" t="s">
        <v>308</v>
      </c>
      <c r="C86" t="s">
        <v>84</v>
      </c>
      <c r="D86" t="s">
        <v>81</v>
      </c>
      <c r="E86" t="s">
        <v>69</v>
      </c>
      <c r="F86" t="s">
        <v>65</v>
      </c>
      <c r="G86" t="s">
        <v>70</v>
      </c>
      <c r="I86" t="s">
        <v>76</v>
      </c>
      <c r="J86" t="s">
        <v>43</v>
      </c>
      <c r="K86" s="20">
        <v>85</v>
      </c>
      <c r="L86" s="23">
        <f>EmploymentData[[#This Row],[Performance Score]]*100/10050</f>
        <v>0.845771144278607</v>
      </c>
    </row>
    <row r="87" spans="1:12" x14ac:dyDescent="0.3">
      <c r="A87" s="15" t="s">
        <v>169</v>
      </c>
      <c r="B87" t="s">
        <v>309</v>
      </c>
      <c r="C87" t="s">
        <v>62</v>
      </c>
      <c r="D87" t="s">
        <v>81</v>
      </c>
      <c r="E87" t="s">
        <v>73</v>
      </c>
      <c r="F87" t="s">
        <v>65</v>
      </c>
      <c r="G87" t="s">
        <v>66</v>
      </c>
      <c r="I87" t="s">
        <v>76</v>
      </c>
      <c r="J87" t="s">
        <v>43</v>
      </c>
      <c r="K87" s="20">
        <v>79</v>
      </c>
      <c r="L87" s="23">
        <f>EmploymentData[[#This Row],[Performance Score]]*100/10050</f>
        <v>0.78606965174129351</v>
      </c>
    </row>
    <row r="88" spans="1:12" x14ac:dyDescent="0.3">
      <c r="A88" s="15" t="s">
        <v>170</v>
      </c>
      <c r="B88" t="s">
        <v>310</v>
      </c>
      <c r="C88" t="s">
        <v>62</v>
      </c>
      <c r="D88" t="s">
        <v>85</v>
      </c>
      <c r="E88" t="s">
        <v>64</v>
      </c>
      <c r="F88" t="s">
        <v>97</v>
      </c>
      <c r="G88" t="s">
        <v>66</v>
      </c>
      <c r="I88" t="s">
        <v>67</v>
      </c>
      <c r="J88" t="s">
        <v>53</v>
      </c>
      <c r="K88" s="20">
        <v>90</v>
      </c>
      <c r="L88" s="23">
        <f>EmploymentData[[#This Row],[Performance Score]]*100/10050</f>
        <v>0.89552238805970152</v>
      </c>
    </row>
    <row r="89" spans="1:12" x14ac:dyDescent="0.3">
      <c r="A89" s="15" t="s">
        <v>171</v>
      </c>
      <c r="B89" t="s">
        <v>311</v>
      </c>
      <c r="C89" t="s">
        <v>62</v>
      </c>
      <c r="D89" t="s">
        <v>85</v>
      </c>
      <c r="E89" t="s">
        <v>64</v>
      </c>
      <c r="F89" t="s">
        <v>74</v>
      </c>
      <c r="G89" t="s">
        <v>66</v>
      </c>
      <c r="I89" t="s">
        <v>71</v>
      </c>
      <c r="J89" t="s">
        <v>27</v>
      </c>
      <c r="K89" s="20">
        <v>73</v>
      </c>
      <c r="L89" s="23">
        <f>EmploymentData[[#This Row],[Performance Score]]*100/10050</f>
        <v>0.72636815920398012</v>
      </c>
    </row>
    <row r="90" spans="1:12" x14ac:dyDescent="0.3">
      <c r="A90" s="15" t="s">
        <v>172</v>
      </c>
      <c r="B90" t="s">
        <v>312</v>
      </c>
      <c r="C90" t="s">
        <v>84</v>
      </c>
      <c r="D90" t="s">
        <v>85</v>
      </c>
      <c r="E90" t="s">
        <v>88</v>
      </c>
      <c r="F90" t="s">
        <v>65</v>
      </c>
      <c r="G90" t="s">
        <v>66</v>
      </c>
      <c r="I90" t="s">
        <v>82</v>
      </c>
      <c r="J90" t="s">
        <v>16</v>
      </c>
      <c r="K90" s="20">
        <v>87</v>
      </c>
      <c r="L90" s="23">
        <f>EmploymentData[[#This Row],[Performance Score]]*100/10050</f>
        <v>0.86567164179104472</v>
      </c>
    </row>
    <row r="91" spans="1:12" x14ac:dyDescent="0.3">
      <c r="A91" s="15" t="s">
        <v>173</v>
      </c>
      <c r="B91" t="s">
        <v>313</v>
      </c>
      <c r="C91" t="s">
        <v>62</v>
      </c>
      <c r="D91" t="s">
        <v>81</v>
      </c>
      <c r="E91" t="s">
        <v>88</v>
      </c>
      <c r="F91" t="s">
        <v>64</v>
      </c>
      <c r="G91" t="s">
        <v>86</v>
      </c>
      <c r="I91" t="s">
        <v>82</v>
      </c>
      <c r="J91" t="s">
        <v>21</v>
      </c>
      <c r="K91" s="20">
        <v>80</v>
      </c>
      <c r="L91" s="23">
        <f>EmploymentData[[#This Row],[Performance Score]]*100/10050</f>
        <v>0.79601990049751248</v>
      </c>
    </row>
    <row r="92" spans="1:12" x14ac:dyDescent="0.3">
      <c r="A92" s="15" t="s">
        <v>174</v>
      </c>
      <c r="B92" t="s">
        <v>314</v>
      </c>
      <c r="C92" t="s">
        <v>62</v>
      </c>
      <c r="D92" t="s">
        <v>63</v>
      </c>
      <c r="E92" t="s">
        <v>64</v>
      </c>
      <c r="F92" t="s">
        <v>65</v>
      </c>
      <c r="G92" t="s">
        <v>75</v>
      </c>
      <c r="I92" t="s">
        <v>71</v>
      </c>
      <c r="J92" t="s">
        <v>53</v>
      </c>
      <c r="K92" s="20">
        <v>92</v>
      </c>
      <c r="L92" s="23">
        <f>EmploymentData[[#This Row],[Performance Score]]*100/10050</f>
        <v>0.91542288557213936</v>
      </c>
    </row>
    <row r="93" spans="1:12" x14ac:dyDescent="0.3">
      <c r="A93" s="15" t="s">
        <v>175</v>
      </c>
      <c r="B93" t="s">
        <v>315</v>
      </c>
      <c r="C93" t="s">
        <v>84</v>
      </c>
      <c r="D93" t="s">
        <v>85</v>
      </c>
      <c r="E93" t="s">
        <v>79</v>
      </c>
      <c r="F93" t="s">
        <v>74</v>
      </c>
      <c r="G93" t="s">
        <v>89</v>
      </c>
      <c r="I93" t="s">
        <v>71</v>
      </c>
      <c r="J93" t="s">
        <v>53</v>
      </c>
      <c r="K93" s="20">
        <v>77</v>
      </c>
      <c r="L93" s="23">
        <f>EmploymentData[[#This Row],[Performance Score]]*100/10050</f>
        <v>0.76616915422885568</v>
      </c>
    </row>
    <row r="94" spans="1:12" x14ac:dyDescent="0.3">
      <c r="A94" s="15" t="s">
        <v>176</v>
      </c>
      <c r="B94" t="s">
        <v>316</v>
      </c>
      <c r="C94" t="s">
        <v>84</v>
      </c>
      <c r="D94" t="s">
        <v>78</v>
      </c>
      <c r="E94" t="s">
        <v>88</v>
      </c>
      <c r="F94" t="s">
        <v>64</v>
      </c>
      <c r="G94" t="s">
        <v>66</v>
      </c>
      <c r="I94" t="s">
        <v>82</v>
      </c>
      <c r="J94" t="s">
        <v>43</v>
      </c>
      <c r="K94" s="20">
        <v>84</v>
      </c>
      <c r="L94" s="23">
        <f>EmploymentData[[#This Row],[Performance Score]]*100/10050</f>
        <v>0.83582089552238803</v>
      </c>
    </row>
    <row r="95" spans="1:12" x14ac:dyDescent="0.3">
      <c r="A95" s="15" t="s">
        <v>177</v>
      </c>
      <c r="B95" t="s">
        <v>317</v>
      </c>
      <c r="C95" t="s">
        <v>84</v>
      </c>
      <c r="D95" t="s">
        <v>63</v>
      </c>
      <c r="E95" t="s">
        <v>64</v>
      </c>
      <c r="F95" t="s">
        <v>74</v>
      </c>
      <c r="G95" t="s">
        <v>75</v>
      </c>
      <c r="I95" t="s">
        <v>76</v>
      </c>
      <c r="J95" t="s">
        <v>53</v>
      </c>
      <c r="K95" s="20">
        <v>89</v>
      </c>
      <c r="L95" s="23">
        <f>EmploymentData[[#This Row],[Performance Score]]*100/10050</f>
        <v>0.88557213930348255</v>
      </c>
    </row>
    <row r="96" spans="1:12" x14ac:dyDescent="0.3">
      <c r="A96" s="15" t="s">
        <v>178</v>
      </c>
      <c r="B96" t="s">
        <v>318</v>
      </c>
      <c r="C96" t="s">
        <v>84</v>
      </c>
      <c r="D96" t="s">
        <v>78</v>
      </c>
      <c r="E96" t="s">
        <v>73</v>
      </c>
      <c r="F96" t="s">
        <v>97</v>
      </c>
      <c r="G96" t="s">
        <v>86</v>
      </c>
      <c r="I96" t="s">
        <v>67</v>
      </c>
      <c r="J96" t="s">
        <v>43</v>
      </c>
      <c r="K96" s="20">
        <v>94</v>
      </c>
      <c r="L96" s="23">
        <f>EmploymentData[[#This Row],[Performance Score]]*100/10050</f>
        <v>0.93532338308457708</v>
      </c>
    </row>
    <row r="97" spans="1:12" x14ac:dyDescent="0.3">
      <c r="A97" s="15" t="s">
        <v>179</v>
      </c>
      <c r="B97" t="s">
        <v>319</v>
      </c>
      <c r="C97" t="s">
        <v>84</v>
      </c>
      <c r="D97" t="s">
        <v>81</v>
      </c>
      <c r="E97" t="s">
        <v>79</v>
      </c>
      <c r="F97" t="s">
        <v>64</v>
      </c>
      <c r="G97" t="s">
        <v>86</v>
      </c>
      <c r="I97" t="s">
        <v>82</v>
      </c>
      <c r="J97" t="s">
        <v>43</v>
      </c>
      <c r="K97" s="20">
        <v>78</v>
      </c>
      <c r="L97" s="23">
        <f>EmploymentData[[#This Row],[Performance Score]]*100/10050</f>
        <v>0.77611940298507465</v>
      </c>
    </row>
    <row r="98" spans="1:12" x14ac:dyDescent="0.3">
      <c r="A98" s="15" t="s">
        <v>180</v>
      </c>
      <c r="B98" t="s">
        <v>320</v>
      </c>
      <c r="C98" t="s">
        <v>62</v>
      </c>
      <c r="D98" t="s">
        <v>78</v>
      </c>
      <c r="E98" t="s">
        <v>69</v>
      </c>
      <c r="F98" t="s">
        <v>97</v>
      </c>
      <c r="G98" t="s">
        <v>70</v>
      </c>
      <c r="I98" t="s">
        <v>76</v>
      </c>
      <c r="J98" t="s">
        <v>16</v>
      </c>
      <c r="K98" s="20">
        <v>81</v>
      </c>
      <c r="L98" s="23">
        <f>EmploymentData[[#This Row],[Performance Score]]*100/10050</f>
        <v>0.80597014925373134</v>
      </c>
    </row>
    <row r="99" spans="1:12" x14ac:dyDescent="0.3">
      <c r="A99" s="15" t="s">
        <v>181</v>
      </c>
      <c r="B99" t="s">
        <v>321</v>
      </c>
      <c r="C99" t="s">
        <v>84</v>
      </c>
      <c r="D99" t="s">
        <v>85</v>
      </c>
      <c r="E99" t="s">
        <v>73</v>
      </c>
      <c r="F99" t="s">
        <v>65</v>
      </c>
      <c r="G99" t="s">
        <v>89</v>
      </c>
      <c r="I99" t="s">
        <v>76</v>
      </c>
      <c r="J99" t="s">
        <v>21</v>
      </c>
      <c r="K99" s="20">
        <v>76</v>
      </c>
      <c r="L99" s="23">
        <f>EmploymentData[[#This Row],[Performance Score]]*100/10050</f>
        <v>0.75621890547263682</v>
      </c>
    </row>
    <row r="100" spans="1:12" x14ac:dyDescent="0.3">
      <c r="A100" s="15" t="s">
        <v>182</v>
      </c>
      <c r="B100" t="s">
        <v>322</v>
      </c>
      <c r="C100" t="s">
        <v>84</v>
      </c>
      <c r="D100" t="s">
        <v>78</v>
      </c>
      <c r="E100" t="s">
        <v>69</v>
      </c>
      <c r="F100" t="s">
        <v>64</v>
      </c>
      <c r="G100" t="s">
        <v>89</v>
      </c>
      <c r="I100" t="s">
        <v>71</v>
      </c>
      <c r="J100" t="s">
        <v>27</v>
      </c>
      <c r="K100" s="20">
        <v>86</v>
      </c>
      <c r="L100" s="23">
        <f>EmploymentData[[#This Row],[Performance Score]]*100/10050</f>
        <v>0.85572139303482586</v>
      </c>
    </row>
    <row r="101" spans="1:12" x14ac:dyDescent="0.3">
      <c r="A101" s="15" t="s">
        <v>183</v>
      </c>
      <c r="B101" t="s">
        <v>323</v>
      </c>
      <c r="C101" t="s">
        <v>62</v>
      </c>
      <c r="D101" t="s">
        <v>85</v>
      </c>
      <c r="E101" t="s">
        <v>69</v>
      </c>
      <c r="F101" t="s">
        <v>97</v>
      </c>
      <c r="G101" t="s">
        <v>89</v>
      </c>
      <c r="I101" t="s">
        <v>82</v>
      </c>
      <c r="J101" t="s">
        <v>27</v>
      </c>
      <c r="K101" s="20">
        <v>88</v>
      </c>
      <c r="L101" s="23">
        <f>EmploymentData[[#This Row],[Performance Score]]*100/10050</f>
        <v>0.87562189054726369</v>
      </c>
    </row>
    <row r="102" spans="1:12" x14ac:dyDescent="0.3">
      <c r="A102" s="15" t="s">
        <v>184</v>
      </c>
      <c r="B102" t="s">
        <v>324</v>
      </c>
      <c r="C102" t="s">
        <v>84</v>
      </c>
      <c r="D102" t="s">
        <v>81</v>
      </c>
      <c r="E102" t="s">
        <v>79</v>
      </c>
      <c r="F102" t="s">
        <v>97</v>
      </c>
      <c r="G102" t="s">
        <v>70</v>
      </c>
      <c r="I102" t="s">
        <v>67</v>
      </c>
      <c r="J102" t="s">
        <v>27</v>
      </c>
      <c r="K102" s="20">
        <v>88</v>
      </c>
      <c r="L102" s="23">
        <f>EmploymentData[[#This Row],[Performance Score]]*100/10050</f>
        <v>0.87562189054726369</v>
      </c>
    </row>
    <row r="103" spans="1:12" x14ac:dyDescent="0.3">
      <c r="A103" s="15" t="s">
        <v>185</v>
      </c>
      <c r="B103" t="s">
        <v>325</v>
      </c>
      <c r="C103" t="s">
        <v>62</v>
      </c>
      <c r="D103" t="s">
        <v>85</v>
      </c>
      <c r="E103" t="s">
        <v>64</v>
      </c>
      <c r="F103" t="s">
        <v>65</v>
      </c>
      <c r="G103" t="s">
        <v>70</v>
      </c>
      <c r="I103" t="s">
        <v>82</v>
      </c>
      <c r="J103" t="s">
        <v>27</v>
      </c>
      <c r="K103" s="20">
        <v>75</v>
      </c>
      <c r="L103" s="23">
        <f>EmploymentData[[#This Row],[Performance Score]]*100/10050</f>
        <v>0.74626865671641796</v>
      </c>
    </row>
    <row r="104" spans="1:12" x14ac:dyDescent="0.3">
      <c r="A104" s="15" t="s">
        <v>186</v>
      </c>
      <c r="B104" t="s">
        <v>326</v>
      </c>
      <c r="C104" t="s">
        <v>84</v>
      </c>
      <c r="D104" t="s">
        <v>63</v>
      </c>
      <c r="E104" t="s">
        <v>79</v>
      </c>
      <c r="F104" t="s">
        <v>65</v>
      </c>
      <c r="G104" t="s">
        <v>70</v>
      </c>
      <c r="I104" t="s">
        <v>71</v>
      </c>
      <c r="J104" t="s">
        <v>43</v>
      </c>
      <c r="K104" s="20">
        <v>82</v>
      </c>
      <c r="L104" s="23">
        <f>EmploymentData[[#This Row],[Performance Score]]*100/10050</f>
        <v>0.8159203980099502</v>
      </c>
    </row>
    <row r="105" spans="1:12" x14ac:dyDescent="0.3">
      <c r="A105" s="15" t="s">
        <v>187</v>
      </c>
      <c r="B105" t="s">
        <v>327</v>
      </c>
      <c r="C105" t="s">
        <v>84</v>
      </c>
      <c r="D105" t="s">
        <v>81</v>
      </c>
      <c r="E105" t="s">
        <v>64</v>
      </c>
      <c r="F105" t="s">
        <v>74</v>
      </c>
      <c r="G105" t="s">
        <v>66</v>
      </c>
      <c r="I105" t="s">
        <v>76</v>
      </c>
      <c r="J105" t="s">
        <v>16</v>
      </c>
      <c r="K105" s="20">
        <v>91</v>
      </c>
      <c r="L105" s="23">
        <f>EmploymentData[[#This Row],[Performance Score]]*100/10050</f>
        <v>0.90547263681592038</v>
      </c>
    </row>
    <row r="106" spans="1:12" x14ac:dyDescent="0.3">
      <c r="A106" s="15" t="s">
        <v>188</v>
      </c>
      <c r="B106" t="s">
        <v>328</v>
      </c>
      <c r="C106" t="s">
        <v>62</v>
      </c>
      <c r="D106" t="s">
        <v>63</v>
      </c>
      <c r="E106" t="s">
        <v>64</v>
      </c>
      <c r="F106" t="s">
        <v>64</v>
      </c>
      <c r="G106" t="s">
        <v>75</v>
      </c>
      <c r="I106" t="s">
        <v>67</v>
      </c>
      <c r="J106" t="s">
        <v>43</v>
      </c>
      <c r="K106" s="20">
        <v>85</v>
      </c>
      <c r="L106" s="23">
        <f>EmploymentData[[#This Row],[Performance Score]]*100/10050</f>
        <v>0.845771144278607</v>
      </c>
    </row>
    <row r="107" spans="1:12" x14ac:dyDescent="0.3">
      <c r="A107" s="15" t="s">
        <v>189</v>
      </c>
      <c r="B107" t="s">
        <v>329</v>
      </c>
      <c r="C107" t="s">
        <v>62</v>
      </c>
      <c r="D107" t="s">
        <v>81</v>
      </c>
      <c r="E107" t="s">
        <v>79</v>
      </c>
      <c r="F107" t="s">
        <v>64</v>
      </c>
      <c r="G107" t="s">
        <v>75</v>
      </c>
      <c r="I107" t="s">
        <v>76</v>
      </c>
      <c r="J107" t="s">
        <v>21</v>
      </c>
      <c r="K107" s="20">
        <v>79</v>
      </c>
      <c r="L107" s="23">
        <f>EmploymentData[[#This Row],[Performance Score]]*100/10050</f>
        <v>0.78606965174129351</v>
      </c>
    </row>
    <row r="108" spans="1:12" x14ac:dyDescent="0.3">
      <c r="A108" s="15" t="s">
        <v>190</v>
      </c>
      <c r="B108" t="s">
        <v>330</v>
      </c>
      <c r="C108" t="s">
        <v>62</v>
      </c>
      <c r="D108" t="s">
        <v>63</v>
      </c>
      <c r="E108" t="s">
        <v>79</v>
      </c>
      <c r="F108" t="s">
        <v>97</v>
      </c>
      <c r="G108" t="s">
        <v>70</v>
      </c>
      <c r="I108" t="s">
        <v>76</v>
      </c>
      <c r="J108" t="s">
        <v>27</v>
      </c>
      <c r="K108" s="20">
        <v>90</v>
      </c>
      <c r="L108" s="23">
        <f>EmploymentData[[#This Row],[Performance Score]]*100/10050</f>
        <v>0.89552238805970152</v>
      </c>
    </row>
    <row r="109" spans="1:12" x14ac:dyDescent="0.3">
      <c r="A109" s="15" t="s">
        <v>191</v>
      </c>
      <c r="B109" t="s">
        <v>331</v>
      </c>
      <c r="C109" t="s">
        <v>84</v>
      </c>
      <c r="D109" t="s">
        <v>63</v>
      </c>
      <c r="E109" t="s">
        <v>88</v>
      </c>
      <c r="F109" t="s">
        <v>74</v>
      </c>
      <c r="G109" t="s">
        <v>70</v>
      </c>
      <c r="I109" t="s">
        <v>82</v>
      </c>
      <c r="J109" t="s">
        <v>27</v>
      </c>
      <c r="K109" s="20">
        <v>73</v>
      </c>
      <c r="L109" s="23">
        <f>EmploymentData[[#This Row],[Performance Score]]*100/10050</f>
        <v>0.72636815920398012</v>
      </c>
    </row>
    <row r="110" spans="1:12" x14ac:dyDescent="0.3">
      <c r="A110" s="15" t="s">
        <v>192</v>
      </c>
      <c r="B110" t="s">
        <v>332</v>
      </c>
      <c r="C110" t="s">
        <v>62</v>
      </c>
      <c r="D110" t="s">
        <v>78</v>
      </c>
      <c r="E110" t="s">
        <v>69</v>
      </c>
      <c r="F110" t="s">
        <v>74</v>
      </c>
      <c r="G110" t="s">
        <v>89</v>
      </c>
      <c r="I110" t="s">
        <v>76</v>
      </c>
      <c r="J110" t="s">
        <v>16</v>
      </c>
      <c r="K110" s="20">
        <v>87</v>
      </c>
      <c r="L110" s="23">
        <f>EmploymentData[[#This Row],[Performance Score]]*100/10050</f>
        <v>0.86567164179104472</v>
      </c>
    </row>
    <row r="111" spans="1:12" x14ac:dyDescent="0.3">
      <c r="A111" s="15" t="s">
        <v>193</v>
      </c>
      <c r="B111" t="s">
        <v>333</v>
      </c>
      <c r="C111" t="s">
        <v>84</v>
      </c>
      <c r="D111" t="s">
        <v>63</v>
      </c>
      <c r="E111" t="s">
        <v>88</v>
      </c>
      <c r="F111" t="s">
        <v>64</v>
      </c>
      <c r="G111" t="s">
        <v>66</v>
      </c>
      <c r="I111" t="s">
        <v>67</v>
      </c>
      <c r="J111" t="s">
        <v>27</v>
      </c>
      <c r="K111" s="20">
        <v>80</v>
      </c>
      <c r="L111" s="23">
        <f>EmploymentData[[#This Row],[Performance Score]]*100/10050</f>
        <v>0.79601990049751248</v>
      </c>
    </row>
    <row r="112" spans="1:12" x14ac:dyDescent="0.3">
      <c r="A112" s="15" t="s">
        <v>194</v>
      </c>
      <c r="B112" t="s">
        <v>334</v>
      </c>
      <c r="C112" t="s">
        <v>62</v>
      </c>
      <c r="D112" t="s">
        <v>78</v>
      </c>
      <c r="E112" t="s">
        <v>88</v>
      </c>
      <c r="F112" t="s">
        <v>74</v>
      </c>
      <c r="G112" t="s">
        <v>66</v>
      </c>
      <c r="I112" t="s">
        <v>67</v>
      </c>
      <c r="J112" t="s">
        <v>53</v>
      </c>
      <c r="K112" s="20">
        <v>92</v>
      </c>
      <c r="L112" s="23">
        <f>EmploymentData[[#This Row],[Performance Score]]*100/10050</f>
        <v>0.91542288557213936</v>
      </c>
    </row>
    <row r="113" spans="1:12" x14ac:dyDescent="0.3">
      <c r="A113" s="15" t="s">
        <v>195</v>
      </c>
      <c r="B113" t="s">
        <v>335</v>
      </c>
      <c r="C113" t="s">
        <v>62</v>
      </c>
      <c r="D113" t="s">
        <v>78</v>
      </c>
      <c r="E113" t="s">
        <v>88</v>
      </c>
      <c r="F113" t="s">
        <v>74</v>
      </c>
      <c r="G113" t="s">
        <v>75</v>
      </c>
      <c r="I113" t="s">
        <v>76</v>
      </c>
      <c r="J113" t="s">
        <v>27</v>
      </c>
      <c r="K113" s="20">
        <v>77</v>
      </c>
      <c r="L113" s="23">
        <f>EmploymentData[[#This Row],[Performance Score]]*100/10050</f>
        <v>0.76616915422885568</v>
      </c>
    </row>
    <row r="114" spans="1:12" x14ac:dyDescent="0.3">
      <c r="A114" s="15" t="s">
        <v>196</v>
      </c>
      <c r="B114" t="s">
        <v>336</v>
      </c>
      <c r="C114" t="s">
        <v>84</v>
      </c>
      <c r="D114" t="s">
        <v>85</v>
      </c>
      <c r="E114" t="s">
        <v>88</v>
      </c>
      <c r="F114" t="s">
        <v>64</v>
      </c>
      <c r="G114" t="s">
        <v>86</v>
      </c>
      <c r="I114" t="s">
        <v>71</v>
      </c>
      <c r="J114" t="s">
        <v>16</v>
      </c>
      <c r="K114" s="20">
        <v>84</v>
      </c>
      <c r="L114" s="23">
        <f>EmploymentData[[#This Row],[Performance Score]]*100/10050</f>
        <v>0.83582089552238803</v>
      </c>
    </row>
    <row r="115" spans="1:12" x14ac:dyDescent="0.3">
      <c r="A115" s="15" t="s">
        <v>197</v>
      </c>
      <c r="B115" t="s">
        <v>337</v>
      </c>
      <c r="C115" t="s">
        <v>62</v>
      </c>
      <c r="D115" t="s">
        <v>63</v>
      </c>
      <c r="E115" t="s">
        <v>64</v>
      </c>
      <c r="F115" t="s">
        <v>97</v>
      </c>
      <c r="G115" t="s">
        <v>89</v>
      </c>
      <c r="I115" t="s">
        <v>71</v>
      </c>
      <c r="J115" t="s">
        <v>16</v>
      </c>
      <c r="K115" s="20">
        <v>89</v>
      </c>
      <c r="L115" s="23">
        <f>EmploymentData[[#This Row],[Performance Score]]*100/10050</f>
        <v>0.88557213930348255</v>
      </c>
    </row>
    <row r="116" spans="1:12" x14ac:dyDescent="0.3">
      <c r="A116" s="15" t="s">
        <v>198</v>
      </c>
      <c r="B116" t="s">
        <v>338</v>
      </c>
      <c r="C116" t="s">
        <v>84</v>
      </c>
      <c r="D116" t="s">
        <v>63</v>
      </c>
      <c r="E116" t="s">
        <v>73</v>
      </c>
      <c r="F116" t="s">
        <v>74</v>
      </c>
      <c r="G116" t="s">
        <v>89</v>
      </c>
      <c r="I116" t="s">
        <v>76</v>
      </c>
      <c r="J116" t="s">
        <v>16</v>
      </c>
      <c r="K116" s="20">
        <v>94</v>
      </c>
      <c r="L116" s="23">
        <f>EmploymentData[[#This Row],[Performance Score]]*100/10050</f>
        <v>0.93532338308457708</v>
      </c>
    </row>
    <row r="117" spans="1:12" x14ac:dyDescent="0.3">
      <c r="A117" s="15" t="s">
        <v>199</v>
      </c>
      <c r="B117" t="s">
        <v>339</v>
      </c>
      <c r="C117" t="s">
        <v>62</v>
      </c>
      <c r="D117" t="s">
        <v>63</v>
      </c>
      <c r="E117" t="s">
        <v>64</v>
      </c>
      <c r="F117" t="s">
        <v>97</v>
      </c>
      <c r="G117" t="s">
        <v>70</v>
      </c>
      <c r="I117" t="s">
        <v>82</v>
      </c>
      <c r="J117" t="s">
        <v>16</v>
      </c>
      <c r="K117" s="20">
        <v>78</v>
      </c>
      <c r="L117" s="23">
        <f>EmploymentData[[#This Row],[Performance Score]]*100/10050</f>
        <v>0.77611940298507465</v>
      </c>
    </row>
    <row r="118" spans="1:12" x14ac:dyDescent="0.3">
      <c r="A118" s="15" t="s">
        <v>200</v>
      </c>
      <c r="B118" t="s">
        <v>340</v>
      </c>
      <c r="C118" t="s">
        <v>62</v>
      </c>
      <c r="D118" t="s">
        <v>63</v>
      </c>
      <c r="E118" t="s">
        <v>73</v>
      </c>
      <c r="F118" t="s">
        <v>74</v>
      </c>
      <c r="G118" t="s">
        <v>70</v>
      </c>
      <c r="I118" t="s">
        <v>67</v>
      </c>
      <c r="J118" t="s">
        <v>21</v>
      </c>
      <c r="K118" s="20">
        <v>81</v>
      </c>
      <c r="L118" s="23">
        <f>EmploymentData[[#This Row],[Performance Score]]*100/10050</f>
        <v>0.80597014925373134</v>
      </c>
    </row>
    <row r="119" spans="1:12" x14ac:dyDescent="0.3">
      <c r="A119" s="15" t="s">
        <v>201</v>
      </c>
      <c r="B119" t="s">
        <v>341</v>
      </c>
      <c r="C119" t="s">
        <v>62</v>
      </c>
      <c r="D119" t="s">
        <v>85</v>
      </c>
      <c r="E119" t="s">
        <v>79</v>
      </c>
      <c r="F119" t="s">
        <v>65</v>
      </c>
      <c r="G119" t="s">
        <v>70</v>
      </c>
      <c r="I119" t="s">
        <v>67</v>
      </c>
      <c r="J119" t="s">
        <v>53</v>
      </c>
      <c r="K119" s="20">
        <v>76</v>
      </c>
      <c r="L119" s="23">
        <f>EmploymentData[[#This Row],[Performance Score]]*100/10050</f>
        <v>0.75621890547263682</v>
      </c>
    </row>
    <row r="120" spans="1:12" x14ac:dyDescent="0.3">
      <c r="A120" s="15" t="s">
        <v>202</v>
      </c>
      <c r="B120" t="s">
        <v>342</v>
      </c>
      <c r="C120" t="s">
        <v>62</v>
      </c>
      <c r="D120" t="s">
        <v>81</v>
      </c>
      <c r="E120" t="s">
        <v>88</v>
      </c>
      <c r="F120" t="s">
        <v>65</v>
      </c>
      <c r="G120" t="s">
        <v>66</v>
      </c>
      <c r="I120" t="s">
        <v>67</v>
      </c>
      <c r="J120" t="s">
        <v>43</v>
      </c>
      <c r="K120" s="20">
        <v>86</v>
      </c>
      <c r="L120" s="23">
        <f>EmploymentData[[#This Row],[Performance Score]]*100/10050</f>
        <v>0.85572139303482586</v>
      </c>
    </row>
    <row r="121" spans="1:12" x14ac:dyDescent="0.3">
      <c r="A121" s="15" t="s">
        <v>203</v>
      </c>
      <c r="B121" t="s">
        <v>343</v>
      </c>
      <c r="C121" t="s">
        <v>84</v>
      </c>
      <c r="D121" t="s">
        <v>78</v>
      </c>
      <c r="E121" t="s">
        <v>73</v>
      </c>
      <c r="F121" t="s">
        <v>97</v>
      </c>
      <c r="G121" t="s">
        <v>86</v>
      </c>
      <c r="I121" t="s">
        <v>71</v>
      </c>
      <c r="J121" t="s">
        <v>43</v>
      </c>
      <c r="K121" s="20">
        <v>88</v>
      </c>
      <c r="L121" s="23">
        <f>EmploymentData[[#This Row],[Performance Score]]*100/10050</f>
        <v>0.87562189054726369</v>
      </c>
    </row>
    <row r="124" spans="1:12" x14ac:dyDescent="0.3">
      <c r="B124" s="15" t="s">
        <v>344</v>
      </c>
      <c r="C124" t="s">
        <v>345</v>
      </c>
    </row>
    <row r="125" spans="1:12" x14ac:dyDescent="0.3">
      <c r="B125" s="15">
        <f>COUNTIF(EmploymentData[Gender],"Male")</f>
        <v>55</v>
      </c>
      <c r="C125">
        <f>COUNTIF(EmploymentData[Gender],"Female")</f>
        <v>65</v>
      </c>
    </row>
    <row r="127" spans="1:12" x14ac:dyDescent="0.3">
      <c r="B127" s="15" t="s">
        <v>348</v>
      </c>
      <c r="C127" t="s">
        <v>349</v>
      </c>
      <c r="D127" t="s">
        <v>350</v>
      </c>
      <c r="E127" t="s">
        <v>351</v>
      </c>
      <c r="F127" t="s">
        <v>352</v>
      </c>
    </row>
    <row r="128" spans="1:12" x14ac:dyDescent="0.3">
      <c r="B128" s="16">
        <f>COUNTIF(EmploymentData[Job Category],"Manager")</f>
        <v>19</v>
      </c>
      <c r="C128" s="17">
        <f>COUNTIF(EmploymentData[Job Category],"Analyst")</f>
        <v>28</v>
      </c>
      <c r="D128" s="17">
        <f>COUNTIF(EmploymentData[Job Category],"Intern")</f>
        <v>23</v>
      </c>
      <c r="E128" s="18">
        <f>COUNTIF(EmploymentData[Job Category],"Developer")</f>
        <v>25</v>
      </c>
      <c r="F128" s="18">
        <f>COUNTIF(EmploymentData[Job Category],"Support")</f>
        <v>25</v>
      </c>
    </row>
    <row r="130" spans="2:12" x14ac:dyDescent="0.3">
      <c r="B130" s="15" t="s">
        <v>59</v>
      </c>
      <c r="C130" t="s">
        <v>361</v>
      </c>
      <c r="D130" s="21" t="s">
        <v>359</v>
      </c>
      <c r="F130" t="s">
        <v>59</v>
      </c>
      <c r="G130" t="s">
        <v>363</v>
      </c>
      <c r="H130" t="s">
        <v>364</v>
      </c>
      <c r="I130" t="s">
        <v>365</v>
      </c>
      <c r="J130" t="s">
        <v>362</v>
      </c>
    </row>
    <row r="131" spans="2:12" x14ac:dyDescent="0.3">
      <c r="B131" s="3" t="s">
        <v>66</v>
      </c>
      <c r="C131" s="24">
        <v>88</v>
      </c>
      <c r="D131" s="21">
        <f>Table9[[#This Row],[Performance]]*100/10050</f>
        <v>0.87562189054726369</v>
      </c>
      <c r="F131" t="s">
        <v>66</v>
      </c>
      <c r="G131">
        <f>COUNTIFS(EmploymentData[Department],"HR",EmploymentData[Salary Range],"200K-400K")</f>
        <v>9</v>
      </c>
      <c r="H131">
        <f>COUNTIFS(EmploymentData[Department],"HR",EmploymentData[Salary Range],"400K-700K")</f>
        <v>5</v>
      </c>
      <c r="I131">
        <f>COUNTIFS(EmploymentData[Department],"HR",EmploymentData[Salary Range],"700K-1M")</f>
        <v>6</v>
      </c>
      <c r="J131">
        <f>COUNTIFS(EmploymentData[Department],"HR",EmploymentData[Salary Range],"1M+")</f>
        <v>10</v>
      </c>
      <c r="K131" s="23"/>
      <c r="L131"/>
    </row>
    <row r="132" spans="2:12" x14ac:dyDescent="0.3">
      <c r="B132" s="4" t="s">
        <v>70</v>
      </c>
      <c r="C132" s="25">
        <v>75</v>
      </c>
      <c r="D132" s="21">
        <f>Table9[[#This Row],[Performance]]*100/10050</f>
        <v>0.74626865671641796</v>
      </c>
      <c r="F132" t="s">
        <v>75</v>
      </c>
      <c r="G132">
        <f>COUNTIFS(EmploymentData[Department],"Finance",EmploymentData[Salary Range],"200K-400K")</f>
        <v>8</v>
      </c>
      <c r="H132">
        <f>COUNTIFS(EmploymentData[Department],"Finance",EmploymentData[Salary Range],"400K-700K")</f>
        <v>5</v>
      </c>
      <c r="I132">
        <f>COUNTIFS(EmploymentData[Department],"Finance",EmploymentData[Salary Range],"700K-1M")</f>
        <v>8</v>
      </c>
      <c r="J132">
        <f>COUNTIFS(EmploymentData[Department],"Finance",EmploymentData[Salary Range],"1M+")</f>
        <v>6</v>
      </c>
      <c r="K132" s="23"/>
      <c r="L132"/>
    </row>
    <row r="133" spans="2:12" x14ac:dyDescent="0.3">
      <c r="B133" s="3" t="s">
        <v>75</v>
      </c>
      <c r="C133" s="24">
        <v>82</v>
      </c>
      <c r="D133" s="21">
        <f>Table9[[#This Row],[Performance]]*100/10050</f>
        <v>0.8159203980099502</v>
      </c>
      <c r="F133" t="s">
        <v>70</v>
      </c>
      <c r="G133">
        <f>COUNTIFS(EmploymentData[Department],"Marketing",EmploymentData[Salary Range],"200K-400K")</f>
        <v>7</v>
      </c>
      <c r="H133">
        <f>COUNTIFS(EmploymentData[Department],"Marketing",EmploymentData[Salary Range],"400K-700K")</f>
        <v>9</v>
      </c>
      <c r="I133">
        <f>COUNTIFS(EmploymentData[Department],"Marketing",EmploymentData[Salary Range],"700K-1M")</f>
        <v>9</v>
      </c>
      <c r="J133">
        <f>COUNTIFS(EmploymentData[Department],"Marketing",EmploymentData[Salary Range],"1M+")</f>
        <v>4</v>
      </c>
      <c r="K133" s="23"/>
      <c r="L133"/>
    </row>
    <row r="134" spans="2:12" x14ac:dyDescent="0.3">
      <c r="B134" s="4" t="s">
        <v>70</v>
      </c>
      <c r="C134" s="25">
        <v>91</v>
      </c>
      <c r="D134" s="21">
        <f>Table9[[#This Row],[Performance]]*100/10050</f>
        <v>0.90547263681592038</v>
      </c>
      <c r="F134" t="s">
        <v>89</v>
      </c>
      <c r="G134">
        <f>COUNTIFS(EmploymentData[Department],"Operations",EmploymentData[Salary Range],"200K-400K")</f>
        <v>5</v>
      </c>
      <c r="H134">
        <f>COUNTIFS(EmploymentData[Department],"Operations",EmploymentData[Salary Range],"400K-700K")</f>
        <v>7</v>
      </c>
      <c r="I134">
        <f>COUNTIFS(EmploymentData[Department],"Operations",EmploymentData[Salary Range],"700K-1M")</f>
        <v>5</v>
      </c>
      <c r="J134">
        <f>COUNTIFS(EmploymentData[Department],"Operations",EmploymentData[Salary Range],"1M+")</f>
        <v>3</v>
      </c>
      <c r="K134" s="23"/>
      <c r="L134"/>
    </row>
    <row r="135" spans="2:12" x14ac:dyDescent="0.3">
      <c r="B135" s="3" t="s">
        <v>66</v>
      </c>
      <c r="C135" s="24">
        <v>85</v>
      </c>
      <c r="D135" s="21">
        <f>Table9[[#This Row],[Performance]]*100/10050</f>
        <v>0.845771144278607</v>
      </c>
      <c r="F135" t="s">
        <v>86</v>
      </c>
      <c r="G135">
        <f>COUNTIFS(EmploymentData[Department],"IT",EmploymentData[Salary Range],"200K-400K")</f>
        <v>1</v>
      </c>
      <c r="H135">
        <f>COUNTIFS(EmploymentData[Department],"IT",EmploymentData[Salary Range],"400K-700K")</f>
        <v>3</v>
      </c>
      <c r="I135">
        <f>COUNTIFS(EmploymentData[Department],"IT",EmploymentData[Salary Range],"700K-1M")</f>
        <v>6</v>
      </c>
      <c r="J135">
        <f>COUNTIFS(EmploymentData[Department],"IT",EmploymentData[Salary Range],"1M+")</f>
        <v>4</v>
      </c>
      <c r="K135" s="23"/>
      <c r="L135"/>
    </row>
    <row r="136" spans="2:12" x14ac:dyDescent="0.3">
      <c r="B136" s="4" t="s">
        <v>86</v>
      </c>
      <c r="C136" s="25">
        <v>79</v>
      </c>
      <c r="D136" s="21">
        <f>Table9[[#This Row],[Performance]]*100/10050</f>
        <v>0.78606965174129351</v>
      </c>
      <c r="K136" s="23"/>
      <c r="L136"/>
    </row>
    <row r="137" spans="2:12" x14ac:dyDescent="0.3">
      <c r="B137" s="3" t="s">
        <v>89</v>
      </c>
      <c r="C137" s="24">
        <v>90</v>
      </c>
      <c r="D137" s="21">
        <f>Table9[[#This Row],[Performance]]*100/10050</f>
        <v>0.89552238805970152</v>
      </c>
      <c r="K137" s="23"/>
      <c r="L137"/>
    </row>
    <row r="138" spans="2:12" x14ac:dyDescent="0.3">
      <c r="B138" s="4" t="s">
        <v>70</v>
      </c>
      <c r="C138" s="25">
        <v>73</v>
      </c>
      <c r="D138" s="21">
        <f>Table9[[#This Row],[Performance]]*100/10050</f>
        <v>0.72636815920398012</v>
      </c>
      <c r="K138" s="23"/>
      <c r="L138"/>
    </row>
    <row r="139" spans="2:12" x14ac:dyDescent="0.3">
      <c r="B139" s="3" t="s">
        <v>66</v>
      </c>
      <c r="C139" s="24">
        <v>87</v>
      </c>
      <c r="D139" s="21">
        <f>Table9[[#This Row],[Performance]]*100/10050</f>
        <v>0.86567164179104472</v>
      </c>
      <c r="K139" s="23"/>
      <c r="L139"/>
    </row>
    <row r="140" spans="2:12" x14ac:dyDescent="0.3">
      <c r="B140" s="4" t="s">
        <v>75</v>
      </c>
      <c r="C140" s="25">
        <v>80</v>
      </c>
      <c r="D140" s="21">
        <f>Table9[[#This Row],[Performance]]*100/10050</f>
        <v>0.79601990049751248</v>
      </c>
      <c r="K140" s="23"/>
      <c r="L140"/>
    </row>
    <row r="141" spans="2:12" x14ac:dyDescent="0.3">
      <c r="B141" s="3" t="s">
        <v>66</v>
      </c>
      <c r="C141" s="24">
        <v>92</v>
      </c>
      <c r="D141" s="21">
        <f>Table9[[#This Row],[Performance]]*100/10050</f>
        <v>0.91542288557213936</v>
      </c>
      <c r="K141" s="23"/>
      <c r="L141"/>
    </row>
    <row r="142" spans="2:12" x14ac:dyDescent="0.3">
      <c r="B142" s="4" t="s">
        <v>70</v>
      </c>
      <c r="C142" s="25">
        <v>77</v>
      </c>
      <c r="D142" s="21">
        <f>Table9[[#This Row],[Performance]]*100/10050</f>
        <v>0.76616915422885568</v>
      </c>
      <c r="K142" s="23"/>
      <c r="L142"/>
    </row>
    <row r="143" spans="2:12" x14ac:dyDescent="0.3">
      <c r="B143" s="3" t="s">
        <v>75</v>
      </c>
      <c r="C143" s="24">
        <v>84</v>
      </c>
      <c r="D143" s="21">
        <f>Table9[[#This Row],[Performance]]*100/10050</f>
        <v>0.83582089552238803</v>
      </c>
      <c r="K143" s="23"/>
      <c r="L143"/>
    </row>
    <row r="144" spans="2:12" x14ac:dyDescent="0.3">
      <c r="B144" s="4" t="s">
        <v>70</v>
      </c>
      <c r="C144" s="25">
        <v>89</v>
      </c>
      <c r="D144" s="21">
        <f>Table9[[#This Row],[Performance]]*100/10050</f>
        <v>0.88557213930348255</v>
      </c>
      <c r="K144" s="23"/>
      <c r="L144"/>
    </row>
    <row r="145" spans="2:12" x14ac:dyDescent="0.3">
      <c r="B145" s="3" t="s">
        <v>75</v>
      </c>
      <c r="C145" s="24">
        <v>94</v>
      </c>
      <c r="D145" s="21">
        <f>Table9[[#This Row],[Performance]]*100/10050</f>
        <v>0.93532338308457708</v>
      </c>
      <c r="K145" s="23"/>
      <c r="L145"/>
    </row>
    <row r="146" spans="2:12" x14ac:dyDescent="0.3">
      <c r="B146" s="4" t="s">
        <v>66</v>
      </c>
      <c r="C146" s="25">
        <v>78</v>
      </c>
      <c r="D146" s="21">
        <f>Table9[[#This Row],[Performance]]*100/10050</f>
        <v>0.77611940298507465</v>
      </c>
      <c r="K146" s="23"/>
      <c r="L146"/>
    </row>
    <row r="147" spans="2:12" x14ac:dyDescent="0.3">
      <c r="B147" s="3" t="s">
        <v>66</v>
      </c>
      <c r="C147" s="24">
        <v>81</v>
      </c>
      <c r="D147" s="21">
        <f>Table9[[#This Row],[Performance]]*100/10050</f>
        <v>0.80597014925373134</v>
      </c>
      <c r="K147" s="23"/>
      <c r="L147"/>
    </row>
    <row r="148" spans="2:12" x14ac:dyDescent="0.3">
      <c r="B148" s="4" t="s">
        <v>70</v>
      </c>
      <c r="C148" s="25">
        <v>76</v>
      </c>
      <c r="D148" s="21">
        <f>Table9[[#This Row],[Performance]]*100/10050</f>
        <v>0.75621890547263682</v>
      </c>
      <c r="K148" s="23"/>
      <c r="L148"/>
    </row>
    <row r="149" spans="2:12" x14ac:dyDescent="0.3">
      <c r="B149" s="3" t="s">
        <v>86</v>
      </c>
      <c r="C149" s="24">
        <v>86</v>
      </c>
      <c r="D149" s="21">
        <f>Table9[[#This Row],[Performance]]*100/10050</f>
        <v>0.85572139303482586</v>
      </c>
      <c r="K149" s="23"/>
      <c r="L149"/>
    </row>
    <row r="150" spans="2:12" x14ac:dyDescent="0.3">
      <c r="B150" s="4" t="s">
        <v>86</v>
      </c>
      <c r="C150" s="25">
        <v>88</v>
      </c>
      <c r="D150" s="21">
        <f>Table9[[#This Row],[Performance]]*100/10050</f>
        <v>0.87562189054726369</v>
      </c>
      <c r="K150" s="23"/>
      <c r="L150"/>
    </row>
    <row r="151" spans="2:12" x14ac:dyDescent="0.3">
      <c r="B151" s="3" t="s">
        <v>89</v>
      </c>
      <c r="C151" s="24">
        <v>88</v>
      </c>
      <c r="D151" s="21">
        <f>Table9[[#This Row],[Performance]]*100/10050</f>
        <v>0.87562189054726369</v>
      </c>
      <c r="K151" s="23"/>
      <c r="L151"/>
    </row>
    <row r="152" spans="2:12" x14ac:dyDescent="0.3">
      <c r="B152" s="4" t="s">
        <v>66</v>
      </c>
      <c r="C152" s="25">
        <v>75</v>
      </c>
      <c r="D152" s="21">
        <f>Table9[[#This Row],[Performance]]*100/10050</f>
        <v>0.74626865671641796</v>
      </c>
      <c r="K152" s="23"/>
      <c r="L152"/>
    </row>
    <row r="153" spans="2:12" x14ac:dyDescent="0.3">
      <c r="B153" s="3" t="s">
        <v>75</v>
      </c>
      <c r="C153" s="24">
        <v>82</v>
      </c>
      <c r="D153" s="21">
        <f>Table9[[#This Row],[Performance]]*100/10050</f>
        <v>0.8159203980099502</v>
      </c>
      <c r="K153" s="23"/>
      <c r="L153"/>
    </row>
    <row r="154" spans="2:12" x14ac:dyDescent="0.3">
      <c r="B154" s="4" t="s">
        <v>66</v>
      </c>
      <c r="C154" s="25">
        <v>91</v>
      </c>
      <c r="D154" s="21">
        <f>Table9[[#This Row],[Performance]]*100/10050</f>
        <v>0.90547263681592038</v>
      </c>
      <c r="K154" s="23"/>
      <c r="L154"/>
    </row>
    <row r="155" spans="2:12" x14ac:dyDescent="0.3">
      <c r="B155" s="3" t="s">
        <v>66</v>
      </c>
      <c r="C155" s="24">
        <v>85</v>
      </c>
      <c r="D155" s="21">
        <f>Table9[[#This Row],[Performance]]*100/10050</f>
        <v>0.845771144278607</v>
      </c>
      <c r="K155" s="23"/>
      <c r="L155"/>
    </row>
    <row r="156" spans="2:12" x14ac:dyDescent="0.3">
      <c r="B156" s="4" t="s">
        <v>89</v>
      </c>
      <c r="C156" s="25">
        <v>79</v>
      </c>
      <c r="D156" s="21">
        <f>Table9[[#This Row],[Performance]]*100/10050</f>
        <v>0.78606965174129351</v>
      </c>
      <c r="K156" s="23"/>
      <c r="L156"/>
    </row>
    <row r="157" spans="2:12" x14ac:dyDescent="0.3">
      <c r="B157" s="3" t="s">
        <v>86</v>
      </c>
      <c r="C157" s="24">
        <v>90</v>
      </c>
      <c r="D157" s="21">
        <f>Table9[[#This Row],[Performance]]*100/10050</f>
        <v>0.89552238805970152</v>
      </c>
      <c r="K157" s="23"/>
      <c r="L157"/>
    </row>
    <row r="158" spans="2:12" x14ac:dyDescent="0.3">
      <c r="B158" s="4" t="s">
        <v>75</v>
      </c>
      <c r="C158" s="25">
        <v>73</v>
      </c>
      <c r="D158" s="21">
        <f>Table9[[#This Row],[Performance]]*100/10050</f>
        <v>0.72636815920398012</v>
      </c>
      <c r="K158" s="23"/>
      <c r="L158"/>
    </row>
    <row r="159" spans="2:12" x14ac:dyDescent="0.3">
      <c r="B159" s="3" t="s">
        <v>75</v>
      </c>
      <c r="C159" s="24">
        <v>87</v>
      </c>
      <c r="D159" s="21">
        <f>Table9[[#This Row],[Performance]]*100/10050</f>
        <v>0.86567164179104472</v>
      </c>
      <c r="K159" s="23"/>
      <c r="L159"/>
    </row>
    <row r="160" spans="2:12" x14ac:dyDescent="0.3">
      <c r="B160" s="4" t="s">
        <v>66</v>
      </c>
      <c r="C160" s="25">
        <v>80</v>
      </c>
      <c r="D160" s="21">
        <f>Table9[[#This Row],[Performance]]*100/10050</f>
        <v>0.79601990049751248</v>
      </c>
      <c r="K160" s="23"/>
      <c r="L160"/>
    </row>
    <row r="161" spans="2:12" x14ac:dyDescent="0.3">
      <c r="B161" s="3" t="s">
        <v>75</v>
      </c>
      <c r="C161" s="24">
        <v>92</v>
      </c>
      <c r="D161" s="21">
        <f>Table9[[#This Row],[Performance]]*100/10050</f>
        <v>0.91542288557213936</v>
      </c>
      <c r="K161" s="23"/>
      <c r="L161"/>
    </row>
    <row r="162" spans="2:12" x14ac:dyDescent="0.3">
      <c r="B162" s="4" t="s">
        <v>70</v>
      </c>
      <c r="C162" s="25">
        <v>77</v>
      </c>
      <c r="D162" s="21">
        <f>Table9[[#This Row],[Performance]]*100/10050</f>
        <v>0.76616915422885568</v>
      </c>
      <c r="K162" s="23"/>
      <c r="L162"/>
    </row>
    <row r="163" spans="2:12" x14ac:dyDescent="0.3">
      <c r="B163" s="3" t="s">
        <v>66</v>
      </c>
      <c r="C163" s="24">
        <v>84</v>
      </c>
      <c r="D163" s="21">
        <f>Table9[[#This Row],[Performance]]*100/10050</f>
        <v>0.83582089552238803</v>
      </c>
      <c r="K163" s="23"/>
      <c r="L163"/>
    </row>
    <row r="164" spans="2:12" x14ac:dyDescent="0.3">
      <c r="B164" s="4" t="s">
        <v>70</v>
      </c>
      <c r="C164" s="25">
        <v>89</v>
      </c>
      <c r="D164" s="21">
        <f>Table9[[#This Row],[Performance]]*100/10050</f>
        <v>0.88557213930348255</v>
      </c>
      <c r="K164" s="23"/>
      <c r="L164"/>
    </row>
    <row r="165" spans="2:12" x14ac:dyDescent="0.3">
      <c r="B165" s="3" t="s">
        <v>86</v>
      </c>
      <c r="C165" s="24">
        <v>94</v>
      </c>
      <c r="D165" s="21">
        <f>Table9[[#This Row],[Performance]]*100/10050</f>
        <v>0.93532338308457708</v>
      </c>
      <c r="K165" s="23"/>
      <c r="L165"/>
    </row>
    <row r="166" spans="2:12" x14ac:dyDescent="0.3">
      <c r="B166" s="4" t="s">
        <v>75</v>
      </c>
      <c r="C166" s="25">
        <v>78</v>
      </c>
      <c r="D166" s="21">
        <f>Table9[[#This Row],[Performance]]*100/10050</f>
        <v>0.77611940298507465</v>
      </c>
      <c r="K166" s="23"/>
      <c r="L166"/>
    </row>
    <row r="167" spans="2:12" x14ac:dyDescent="0.3">
      <c r="B167" s="3" t="s">
        <v>66</v>
      </c>
      <c r="C167" s="24">
        <v>81</v>
      </c>
      <c r="D167" s="21">
        <f>Table9[[#This Row],[Performance]]*100/10050</f>
        <v>0.80597014925373134</v>
      </c>
      <c r="K167" s="23"/>
      <c r="L167"/>
    </row>
    <row r="168" spans="2:12" x14ac:dyDescent="0.3">
      <c r="B168" s="4" t="s">
        <v>75</v>
      </c>
      <c r="C168" s="25">
        <v>76</v>
      </c>
      <c r="D168" s="21">
        <f>Table9[[#This Row],[Performance]]*100/10050</f>
        <v>0.75621890547263682</v>
      </c>
      <c r="K168" s="23"/>
      <c r="L168"/>
    </row>
    <row r="169" spans="2:12" x14ac:dyDescent="0.3">
      <c r="B169" s="3" t="s">
        <v>75</v>
      </c>
      <c r="C169" s="24">
        <v>86</v>
      </c>
      <c r="D169" s="21">
        <f>Table9[[#This Row],[Performance]]*100/10050</f>
        <v>0.85572139303482586</v>
      </c>
      <c r="K169" s="23"/>
      <c r="L169"/>
    </row>
    <row r="170" spans="2:12" x14ac:dyDescent="0.3">
      <c r="B170" s="4" t="s">
        <v>70</v>
      </c>
      <c r="C170" s="25">
        <v>88</v>
      </c>
      <c r="D170" s="21">
        <f>Table9[[#This Row],[Performance]]*100/10050</f>
        <v>0.87562189054726369</v>
      </c>
      <c r="K170" s="23"/>
      <c r="L170"/>
    </row>
    <row r="171" spans="2:12" x14ac:dyDescent="0.3">
      <c r="B171" s="3" t="s">
        <v>89</v>
      </c>
      <c r="C171" s="24">
        <v>88</v>
      </c>
      <c r="D171" s="21">
        <f>Table9[[#This Row],[Performance]]*100/10050</f>
        <v>0.87562189054726369</v>
      </c>
      <c r="K171" s="23"/>
      <c r="L171"/>
    </row>
    <row r="172" spans="2:12" x14ac:dyDescent="0.3">
      <c r="B172" s="4" t="s">
        <v>66</v>
      </c>
      <c r="C172" s="25">
        <v>75</v>
      </c>
      <c r="D172" s="21">
        <f>Table9[[#This Row],[Performance]]*100/10050</f>
        <v>0.74626865671641796</v>
      </c>
      <c r="K172" s="23"/>
      <c r="L172"/>
    </row>
    <row r="173" spans="2:12" x14ac:dyDescent="0.3">
      <c r="B173" s="3" t="s">
        <v>70</v>
      </c>
      <c r="C173" s="24">
        <v>82</v>
      </c>
      <c r="D173" s="21">
        <f>Table9[[#This Row],[Performance]]*100/10050</f>
        <v>0.8159203980099502</v>
      </c>
      <c r="K173" s="23"/>
      <c r="L173"/>
    </row>
    <row r="174" spans="2:12" x14ac:dyDescent="0.3">
      <c r="B174" s="4" t="s">
        <v>66</v>
      </c>
      <c r="C174" s="25">
        <v>91</v>
      </c>
      <c r="D174" s="21">
        <f>Table9[[#This Row],[Performance]]*100/10050</f>
        <v>0.90547263681592038</v>
      </c>
      <c r="K174" s="23"/>
      <c r="L174"/>
    </row>
    <row r="175" spans="2:12" x14ac:dyDescent="0.3">
      <c r="B175" s="3" t="s">
        <v>75</v>
      </c>
      <c r="C175" s="24">
        <v>85</v>
      </c>
      <c r="D175" s="21">
        <f>Table9[[#This Row],[Performance]]*100/10050</f>
        <v>0.845771144278607</v>
      </c>
      <c r="K175" s="23"/>
      <c r="L175"/>
    </row>
    <row r="176" spans="2:12" x14ac:dyDescent="0.3">
      <c r="B176" s="4" t="s">
        <v>70</v>
      </c>
      <c r="C176" s="25">
        <v>79</v>
      </c>
      <c r="D176" s="21">
        <f>Table9[[#This Row],[Performance]]*100/10050</f>
        <v>0.78606965174129351</v>
      </c>
      <c r="K176" s="23"/>
      <c r="L176"/>
    </row>
    <row r="177" spans="2:12" x14ac:dyDescent="0.3">
      <c r="B177" s="3" t="s">
        <v>75</v>
      </c>
      <c r="C177" s="24">
        <v>90</v>
      </c>
      <c r="D177" s="21">
        <f>Table9[[#This Row],[Performance]]*100/10050</f>
        <v>0.89552238805970152</v>
      </c>
      <c r="K177" s="23"/>
      <c r="L177"/>
    </row>
    <row r="178" spans="2:12" x14ac:dyDescent="0.3">
      <c r="B178" s="4" t="s">
        <v>70</v>
      </c>
      <c r="C178" s="25">
        <v>73</v>
      </c>
      <c r="D178" s="21">
        <f>Table9[[#This Row],[Performance]]*100/10050</f>
        <v>0.72636815920398012</v>
      </c>
      <c r="K178" s="23"/>
      <c r="L178"/>
    </row>
    <row r="179" spans="2:12" x14ac:dyDescent="0.3">
      <c r="B179" s="3" t="s">
        <v>75</v>
      </c>
      <c r="C179" s="24">
        <v>87</v>
      </c>
      <c r="D179" s="21">
        <f>Table9[[#This Row],[Performance]]*100/10050</f>
        <v>0.86567164179104472</v>
      </c>
      <c r="K179" s="23"/>
      <c r="L179"/>
    </row>
    <row r="180" spans="2:12" x14ac:dyDescent="0.3">
      <c r="B180" s="4" t="s">
        <v>89</v>
      </c>
      <c r="C180" s="25">
        <v>80</v>
      </c>
      <c r="D180" s="21">
        <f>Table9[[#This Row],[Performance]]*100/10050</f>
        <v>0.79601990049751248</v>
      </c>
      <c r="K180" s="23"/>
      <c r="L180"/>
    </row>
    <row r="181" spans="2:12" x14ac:dyDescent="0.3">
      <c r="B181" s="3" t="s">
        <v>75</v>
      </c>
      <c r="C181" s="24">
        <v>92</v>
      </c>
      <c r="D181" s="21">
        <f>Table9[[#This Row],[Performance]]*100/10050</f>
        <v>0.91542288557213936</v>
      </c>
      <c r="K181" s="23"/>
      <c r="L181"/>
    </row>
    <row r="182" spans="2:12" x14ac:dyDescent="0.3">
      <c r="B182" s="4" t="s">
        <v>70</v>
      </c>
      <c r="C182" s="25">
        <v>77</v>
      </c>
      <c r="D182" s="21">
        <f>Table9[[#This Row],[Performance]]*100/10050</f>
        <v>0.76616915422885568</v>
      </c>
      <c r="K182" s="23"/>
      <c r="L182"/>
    </row>
    <row r="183" spans="2:12" x14ac:dyDescent="0.3">
      <c r="B183" s="3" t="s">
        <v>86</v>
      </c>
      <c r="C183" s="24">
        <v>84</v>
      </c>
      <c r="D183" s="21">
        <f>Table9[[#This Row],[Performance]]*100/10050</f>
        <v>0.83582089552238803</v>
      </c>
      <c r="K183" s="23"/>
      <c r="L183"/>
    </row>
    <row r="184" spans="2:12" x14ac:dyDescent="0.3">
      <c r="B184" s="4" t="s">
        <v>66</v>
      </c>
      <c r="C184" s="25">
        <v>89</v>
      </c>
      <c r="D184" s="21">
        <f>Table9[[#This Row],[Performance]]*100/10050</f>
        <v>0.88557213930348255</v>
      </c>
      <c r="K184" s="23"/>
      <c r="L184"/>
    </row>
    <row r="185" spans="2:12" x14ac:dyDescent="0.3">
      <c r="B185" s="3" t="s">
        <v>75</v>
      </c>
      <c r="C185" s="24">
        <v>94</v>
      </c>
      <c r="D185" s="21">
        <f>Table9[[#This Row],[Performance]]*100/10050</f>
        <v>0.93532338308457708</v>
      </c>
      <c r="K185" s="23"/>
      <c r="L185"/>
    </row>
    <row r="186" spans="2:12" x14ac:dyDescent="0.3">
      <c r="B186" s="4" t="s">
        <v>70</v>
      </c>
      <c r="C186" s="25">
        <v>78</v>
      </c>
      <c r="D186" s="21">
        <f>Table9[[#This Row],[Performance]]*100/10050</f>
        <v>0.77611940298507465</v>
      </c>
      <c r="K186" s="23"/>
      <c r="L186"/>
    </row>
    <row r="187" spans="2:12" x14ac:dyDescent="0.3">
      <c r="B187" s="3" t="s">
        <v>89</v>
      </c>
      <c r="C187" s="24">
        <v>81</v>
      </c>
      <c r="D187" s="21">
        <f>Table9[[#This Row],[Performance]]*100/10050</f>
        <v>0.80597014925373134</v>
      </c>
      <c r="K187" s="23"/>
      <c r="L187"/>
    </row>
    <row r="188" spans="2:12" x14ac:dyDescent="0.3">
      <c r="B188" s="4" t="s">
        <v>86</v>
      </c>
      <c r="C188" s="25">
        <v>76</v>
      </c>
      <c r="D188" s="21">
        <f>Table9[[#This Row],[Performance]]*100/10050</f>
        <v>0.75621890547263682</v>
      </c>
      <c r="K188" s="23"/>
      <c r="L188"/>
    </row>
    <row r="189" spans="2:12" x14ac:dyDescent="0.3">
      <c r="B189" s="3" t="s">
        <v>75</v>
      </c>
      <c r="C189" s="24">
        <v>86</v>
      </c>
      <c r="D189" s="21">
        <f>Table9[[#This Row],[Performance]]*100/10050</f>
        <v>0.85572139303482586</v>
      </c>
      <c r="K189" s="23"/>
      <c r="L189"/>
    </row>
    <row r="190" spans="2:12" x14ac:dyDescent="0.3">
      <c r="B190" s="4" t="s">
        <v>66</v>
      </c>
      <c r="C190" s="25">
        <v>88</v>
      </c>
      <c r="D190" s="21">
        <f>Table9[[#This Row],[Performance]]*100/10050</f>
        <v>0.87562189054726369</v>
      </c>
      <c r="K190" s="23"/>
      <c r="L190"/>
    </row>
    <row r="191" spans="2:12" x14ac:dyDescent="0.3">
      <c r="B191" s="3" t="s">
        <v>75</v>
      </c>
      <c r="C191" s="24">
        <v>88</v>
      </c>
      <c r="D191" s="21">
        <f>Table9[[#This Row],[Performance]]*100/10050</f>
        <v>0.87562189054726369</v>
      </c>
      <c r="K191" s="23"/>
      <c r="L191"/>
    </row>
    <row r="192" spans="2:12" x14ac:dyDescent="0.3">
      <c r="B192" s="4" t="s">
        <v>89</v>
      </c>
      <c r="C192" s="25">
        <v>75</v>
      </c>
      <c r="D192" s="21">
        <f>Table9[[#This Row],[Performance]]*100/10050</f>
        <v>0.74626865671641796</v>
      </c>
      <c r="K192" s="23"/>
      <c r="L192"/>
    </row>
    <row r="193" spans="2:12" x14ac:dyDescent="0.3">
      <c r="B193" s="3" t="s">
        <v>70</v>
      </c>
      <c r="C193" s="24">
        <v>82</v>
      </c>
      <c r="D193" s="21">
        <f>Table9[[#This Row],[Performance]]*100/10050</f>
        <v>0.8159203980099502</v>
      </c>
      <c r="K193" s="23"/>
      <c r="L193"/>
    </row>
    <row r="194" spans="2:12" x14ac:dyDescent="0.3">
      <c r="B194" s="4" t="s">
        <v>66</v>
      </c>
      <c r="C194" s="25">
        <v>91</v>
      </c>
      <c r="D194" s="21">
        <f>Table9[[#This Row],[Performance]]*100/10050</f>
        <v>0.90547263681592038</v>
      </c>
      <c r="K194" s="23"/>
      <c r="L194"/>
    </row>
    <row r="195" spans="2:12" x14ac:dyDescent="0.3">
      <c r="B195" s="3" t="s">
        <v>66</v>
      </c>
      <c r="C195" s="24">
        <v>85</v>
      </c>
      <c r="D195" s="21">
        <f>Table9[[#This Row],[Performance]]*100/10050</f>
        <v>0.845771144278607</v>
      </c>
      <c r="K195" s="23"/>
      <c r="L195"/>
    </row>
    <row r="196" spans="2:12" x14ac:dyDescent="0.3">
      <c r="B196" s="4" t="s">
        <v>75</v>
      </c>
      <c r="C196" s="25">
        <v>79</v>
      </c>
      <c r="D196" s="21">
        <f>Table9[[#This Row],[Performance]]*100/10050</f>
        <v>0.78606965174129351</v>
      </c>
      <c r="K196" s="23"/>
      <c r="L196"/>
    </row>
    <row r="197" spans="2:12" x14ac:dyDescent="0.3">
      <c r="B197" s="3" t="s">
        <v>70</v>
      </c>
      <c r="C197" s="24">
        <v>90</v>
      </c>
      <c r="D197" s="21">
        <f>Table9[[#This Row],[Performance]]*100/10050</f>
        <v>0.89552238805970152</v>
      </c>
      <c r="K197" s="23"/>
      <c r="L197"/>
    </row>
    <row r="198" spans="2:12" x14ac:dyDescent="0.3">
      <c r="B198" s="4" t="s">
        <v>89</v>
      </c>
      <c r="C198" s="25">
        <v>73</v>
      </c>
      <c r="D198" s="21">
        <f>Table9[[#This Row],[Performance]]*100/10050</f>
        <v>0.72636815920398012</v>
      </c>
      <c r="K198" s="23"/>
      <c r="L198"/>
    </row>
    <row r="199" spans="2:12" x14ac:dyDescent="0.3">
      <c r="B199" s="3" t="s">
        <v>89</v>
      </c>
      <c r="C199" s="24">
        <v>87</v>
      </c>
      <c r="D199" s="21">
        <f>Table9[[#This Row],[Performance]]*100/10050</f>
        <v>0.86567164179104472</v>
      </c>
      <c r="K199" s="23"/>
      <c r="L199"/>
    </row>
    <row r="200" spans="2:12" x14ac:dyDescent="0.3">
      <c r="B200" s="4" t="s">
        <v>89</v>
      </c>
      <c r="C200" s="25">
        <v>80</v>
      </c>
      <c r="D200" s="21">
        <f>Table9[[#This Row],[Performance]]*100/10050</f>
        <v>0.79601990049751248</v>
      </c>
      <c r="K200" s="23"/>
      <c r="L200"/>
    </row>
    <row r="201" spans="2:12" x14ac:dyDescent="0.3">
      <c r="B201" s="3" t="s">
        <v>70</v>
      </c>
      <c r="C201" s="24">
        <v>92</v>
      </c>
      <c r="D201" s="21">
        <f>Table9[[#This Row],[Performance]]*100/10050</f>
        <v>0.91542288557213936</v>
      </c>
      <c r="K201" s="23"/>
      <c r="L201"/>
    </row>
    <row r="202" spans="2:12" x14ac:dyDescent="0.3">
      <c r="B202" s="4" t="s">
        <v>86</v>
      </c>
      <c r="C202" s="25">
        <v>77</v>
      </c>
      <c r="D202" s="21">
        <f>Table9[[#This Row],[Performance]]*100/10050</f>
        <v>0.76616915422885568</v>
      </c>
      <c r="K202" s="23"/>
      <c r="L202"/>
    </row>
    <row r="203" spans="2:12" x14ac:dyDescent="0.3">
      <c r="B203" s="3" t="s">
        <v>89</v>
      </c>
      <c r="C203" s="24">
        <v>84</v>
      </c>
      <c r="D203" s="21">
        <f>Table9[[#This Row],[Performance]]*100/10050</f>
        <v>0.83582089552238803</v>
      </c>
      <c r="K203" s="23"/>
      <c r="L203"/>
    </row>
    <row r="204" spans="2:12" x14ac:dyDescent="0.3">
      <c r="B204" s="4" t="s">
        <v>66</v>
      </c>
      <c r="C204" s="25">
        <v>89</v>
      </c>
      <c r="D204" s="21">
        <f>Table9[[#This Row],[Performance]]*100/10050</f>
        <v>0.88557213930348255</v>
      </c>
      <c r="K204" s="23"/>
      <c r="L204"/>
    </row>
    <row r="205" spans="2:12" x14ac:dyDescent="0.3">
      <c r="B205" s="3" t="s">
        <v>89</v>
      </c>
      <c r="C205" s="24">
        <v>94</v>
      </c>
      <c r="D205" s="21">
        <f>Table9[[#This Row],[Performance]]*100/10050</f>
        <v>0.93532338308457708</v>
      </c>
      <c r="K205" s="23"/>
      <c r="L205"/>
    </row>
    <row r="206" spans="2:12" x14ac:dyDescent="0.3">
      <c r="B206" s="4" t="s">
        <v>66</v>
      </c>
      <c r="C206" s="25">
        <v>78</v>
      </c>
      <c r="D206" s="21">
        <f>Table9[[#This Row],[Performance]]*100/10050</f>
        <v>0.77611940298507465</v>
      </c>
      <c r="K206" s="23"/>
      <c r="L206"/>
    </row>
    <row r="207" spans="2:12" x14ac:dyDescent="0.3">
      <c r="B207" s="3" t="s">
        <v>70</v>
      </c>
      <c r="C207" s="24">
        <v>81</v>
      </c>
      <c r="D207" s="21">
        <f>Table9[[#This Row],[Performance]]*100/10050</f>
        <v>0.80597014925373134</v>
      </c>
      <c r="K207" s="23"/>
      <c r="L207"/>
    </row>
    <row r="208" spans="2:12" x14ac:dyDescent="0.3">
      <c r="B208" s="4" t="s">
        <v>70</v>
      </c>
      <c r="C208" s="25">
        <v>76</v>
      </c>
      <c r="D208" s="21">
        <f>Table9[[#This Row],[Performance]]*100/10050</f>
        <v>0.75621890547263682</v>
      </c>
      <c r="K208" s="23"/>
      <c r="L208"/>
    </row>
    <row r="209" spans="2:12" x14ac:dyDescent="0.3">
      <c r="B209" s="3" t="s">
        <v>75</v>
      </c>
      <c r="C209" s="24">
        <v>86</v>
      </c>
      <c r="D209" s="21">
        <f>Table9[[#This Row],[Performance]]*100/10050</f>
        <v>0.85572139303482586</v>
      </c>
      <c r="K209" s="23"/>
      <c r="L209"/>
    </row>
    <row r="210" spans="2:12" x14ac:dyDescent="0.3">
      <c r="B210" s="4" t="s">
        <v>75</v>
      </c>
      <c r="C210" s="25">
        <v>88</v>
      </c>
      <c r="D210" s="21">
        <f>Table9[[#This Row],[Performance]]*100/10050</f>
        <v>0.87562189054726369</v>
      </c>
      <c r="K210" s="23"/>
      <c r="L210"/>
    </row>
    <row r="211" spans="2:12" x14ac:dyDescent="0.3">
      <c r="B211" s="3" t="s">
        <v>86</v>
      </c>
      <c r="C211" s="24">
        <v>88</v>
      </c>
      <c r="D211" s="21">
        <f>Table9[[#This Row],[Performance]]*100/10050</f>
        <v>0.87562189054726369</v>
      </c>
      <c r="K211" s="23"/>
      <c r="L211"/>
    </row>
    <row r="212" spans="2:12" x14ac:dyDescent="0.3">
      <c r="B212" s="4" t="s">
        <v>75</v>
      </c>
      <c r="C212" s="25">
        <v>75</v>
      </c>
      <c r="D212" s="21">
        <f>Table9[[#This Row],[Performance]]*100/10050</f>
        <v>0.74626865671641796</v>
      </c>
      <c r="K212" s="23"/>
      <c r="L212"/>
    </row>
    <row r="213" spans="2:12" x14ac:dyDescent="0.3">
      <c r="B213" s="3" t="s">
        <v>89</v>
      </c>
      <c r="C213" s="24">
        <v>82</v>
      </c>
      <c r="D213" s="21">
        <f>Table9[[#This Row],[Performance]]*100/10050</f>
        <v>0.8159203980099502</v>
      </c>
      <c r="K213" s="23"/>
      <c r="L213"/>
    </row>
    <row r="214" spans="2:12" x14ac:dyDescent="0.3">
      <c r="B214" s="4" t="s">
        <v>66</v>
      </c>
      <c r="C214" s="25">
        <v>91</v>
      </c>
      <c r="D214" s="21">
        <f>Table9[[#This Row],[Performance]]*100/10050</f>
        <v>0.90547263681592038</v>
      </c>
      <c r="K214" s="23"/>
      <c r="L214"/>
    </row>
    <row r="215" spans="2:12" x14ac:dyDescent="0.3">
      <c r="B215" s="3" t="s">
        <v>70</v>
      </c>
      <c r="C215" s="24">
        <v>85</v>
      </c>
      <c r="D215" s="21">
        <f>Table9[[#This Row],[Performance]]*100/10050</f>
        <v>0.845771144278607</v>
      </c>
      <c r="K215" s="23"/>
      <c r="L215"/>
    </row>
    <row r="216" spans="2:12" x14ac:dyDescent="0.3">
      <c r="B216" s="4" t="s">
        <v>66</v>
      </c>
      <c r="C216" s="25">
        <v>79</v>
      </c>
      <c r="D216" s="21">
        <f>Table9[[#This Row],[Performance]]*100/10050</f>
        <v>0.78606965174129351</v>
      </c>
      <c r="K216" s="23"/>
      <c r="L216"/>
    </row>
    <row r="217" spans="2:12" x14ac:dyDescent="0.3">
      <c r="B217" s="3" t="s">
        <v>66</v>
      </c>
      <c r="C217" s="24">
        <v>90</v>
      </c>
      <c r="D217" s="21">
        <f>Table9[[#This Row],[Performance]]*100/10050</f>
        <v>0.89552238805970152</v>
      </c>
      <c r="K217" s="23"/>
      <c r="L217"/>
    </row>
    <row r="218" spans="2:12" x14ac:dyDescent="0.3">
      <c r="B218" s="4" t="s">
        <v>66</v>
      </c>
      <c r="C218" s="25">
        <v>73</v>
      </c>
      <c r="D218" s="21">
        <f>Table9[[#This Row],[Performance]]*100/10050</f>
        <v>0.72636815920398012</v>
      </c>
      <c r="K218" s="23"/>
      <c r="L218"/>
    </row>
    <row r="219" spans="2:12" x14ac:dyDescent="0.3">
      <c r="B219" s="3" t="s">
        <v>66</v>
      </c>
      <c r="C219" s="24">
        <v>87</v>
      </c>
      <c r="D219" s="21">
        <f>Table9[[#This Row],[Performance]]*100/10050</f>
        <v>0.86567164179104472</v>
      </c>
      <c r="K219" s="23"/>
      <c r="L219"/>
    </row>
    <row r="220" spans="2:12" x14ac:dyDescent="0.3">
      <c r="B220" s="4" t="s">
        <v>86</v>
      </c>
      <c r="C220" s="25">
        <v>80</v>
      </c>
      <c r="D220" s="21">
        <f>Table9[[#This Row],[Performance]]*100/10050</f>
        <v>0.79601990049751248</v>
      </c>
      <c r="K220" s="23"/>
      <c r="L220"/>
    </row>
    <row r="221" spans="2:12" x14ac:dyDescent="0.3">
      <c r="B221" s="3" t="s">
        <v>75</v>
      </c>
      <c r="C221" s="24">
        <v>92</v>
      </c>
      <c r="D221" s="21">
        <f>Table9[[#This Row],[Performance]]*100/10050</f>
        <v>0.91542288557213936</v>
      </c>
      <c r="K221" s="23"/>
      <c r="L221"/>
    </row>
    <row r="222" spans="2:12" x14ac:dyDescent="0.3">
      <c r="B222" s="4" t="s">
        <v>89</v>
      </c>
      <c r="C222" s="25">
        <v>77</v>
      </c>
      <c r="D222" s="21">
        <f>Table9[[#This Row],[Performance]]*100/10050</f>
        <v>0.76616915422885568</v>
      </c>
      <c r="K222" s="23"/>
      <c r="L222"/>
    </row>
    <row r="223" spans="2:12" x14ac:dyDescent="0.3">
      <c r="B223" s="3" t="s">
        <v>66</v>
      </c>
      <c r="C223" s="24">
        <v>84</v>
      </c>
      <c r="D223" s="21">
        <f>Table9[[#This Row],[Performance]]*100/10050</f>
        <v>0.83582089552238803</v>
      </c>
      <c r="K223" s="23"/>
      <c r="L223"/>
    </row>
    <row r="224" spans="2:12" x14ac:dyDescent="0.3">
      <c r="B224" s="4" t="s">
        <v>75</v>
      </c>
      <c r="C224" s="25">
        <v>89</v>
      </c>
      <c r="D224" s="21">
        <f>Table9[[#This Row],[Performance]]*100/10050</f>
        <v>0.88557213930348255</v>
      </c>
      <c r="K224" s="23"/>
      <c r="L224"/>
    </row>
    <row r="225" spans="2:12" x14ac:dyDescent="0.3">
      <c r="B225" s="3" t="s">
        <v>86</v>
      </c>
      <c r="C225" s="24">
        <v>94</v>
      </c>
      <c r="D225" s="21">
        <f>Table9[[#This Row],[Performance]]*100/10050</f>
        <v>0.93532338308457708</v>
      </c>
      <c r="K225" s="23"/>
      <c r="L225"/>
    </row>
    <row r="226" spans="2:12" x14ac:dyDescent="0.3">
      <c r="B226" s="4" t="s">
        <v>86</v>
      </c>
      <c r="C226" s="25">
        <v>78</v>
      </c>
      <c r="D226" s="21">
        <f>Table9[[#This Row],[Performance]]*100/10050</f>
        <v>0.77611940298507465</v>
      </c>
      <c r="K226" s="23"/>
      <c r="L226"/>
    </row>
    <row r="227" spans="2:12" x14ac:dyDescent="0.3">
      <c r="B227" s="3" t="s">
        <v>70</v>
      </c>
      <c r="C227" s="24">
        <v>81</v>
      </c>
      <c r="D227" s="21">
        <f>Table9[[#This Row],[Performance]]*100/10050</f>
        <v>0.80597014925373134</v>
      </c>
      <c r="K227" s="23"/>
      <c r="L227"/>
    </row>
    <row r="228" spans="2:12" x14ac:dyDescent="0.3">
      <c r="B228" s="4" t="s">
        <v>89</v>
      </c>
      <c r="C228" s="25">
        <v>76</v>
      </c>
      <c r="D228" s="21">
        <f>Table9[[#This Row],[Performance]]*100/10050</f>
        <v>0.75621890547263682</v>
      </c>
      <c r="K228" s="23"/>
      <c r="L228"/>
    </row>
    <row r="229" spans="2:12" x14ac:dyDescent="0.3">
      <c r="B229" s="3" t="s">
        <v>89</v>
      </c>
      <c r="C229" s="24">
        <v>86</v>
      </c>
      <c r="D229" s="21">
        <f>Table9[[#This Row],[Performance]]*100/10050</f>
        <v>0.85572139303482586</v>
      </c>
      <c r="K229" s="23"/>
      <c r="L229"/>
    </row>
    <row r="230" spans="2:12" x14ac:dyDescent="0.3">
      <c r="B230" s="4" t="s">
        <v>89</v>
      </c>
      <c r="C230" s="25">
        <v>88</v>
      </c>
      <c r="D230" s="21">
        <f>Table9[[#This Row],[Performance]]*100/10050</f>
        <v>0.87562189054726369</v>
      </c>
      <c r="K230" s="23"/>
      <c r="L230"/>
    </row>
    <row r="231" spans="2:12" x14ac:dyDescent="0.3">
      <c r="B231" s="3" t="s">
        <v>70</v>
      </c>
      <c r="C231" s="24">
        <v>88</v>
      </c>
      <c r="D231" s="21">
        <f>Table9[[#This Row],[Performance]]*100/10050</f>
        <v>0.87562189054726369</v>
      </c>
      <c r="K231" s="23"/>
      <c r="L231"/>
    </row>
    <row r="232" spans="2:12" x14ac:dyDescent="0.3">
      <c r="B232" s="4" t="s">
        <v>70</v>
      </c>
      <c r="C232" s="25">
        <v>75</v>
      </c>
      <c r="D232" s="21">
        <f>Table9[[#This Row],[Performance]]*100/10050</f>
        <v>0.74626865671641796</v>
      </c>
      <c r="K232" s="23"/>
      <c r="L232"/>
    </row>
    <row r="233" spans="2:12" x14ac:dyDescent="0.3">
      <c r="B233" s="3" t="s">
        <v>70</v>
      </c>
      <c r="C233" s="24">
        <v>82</v>
      </c>
      <c r="D233" s="21">
        <f>Table9[[#This Row],[Performance]]*100/10050</f>
        <v>0.8159203980099502</v>
      </c>
      <c r="K233" s="23"/>
      <c r="L233"/>
    </row>
    <row r="234" spans="2:12" x14ac:dyDescent="0.3">
      <c r="B234" s="4" t="s">
        <v>66</v>
      </c>
      <c r="C234" s="25">
        <v>91</v>
      </c>
      <c r="D234" s="21">
        <f>Table9[[#This Row],[Performance]]*100/10050</f>
        <v>0.90547263681592038</v>
      </c>
      <c r="K234" s="23"/>
      <c r="L234"/>
    </row>
    <row r="235" spans="2:12" x14ac:dyDescent="0.3">
      <c r="B235" s="3" t="s">
        <v>75</v>
      </c>
      <c r="C235" s="24">
        <v>85</v>
      </c>
      <c r="D235" s="21">
        <f>Table9[[#This Row],[Performance]]*100/10050</f>
        <v>0.845771144278607</v>
      </c>
      <c r="K235" s="23"/>
      <c r="L235"/>
    </row>
    <row r="236" spans="2:12" x14ac:dyDescent="0.3">
      <c r="B236" s="4" t="s">
        <v>75</v>
      </c>
      <c r="C236" s="25">
        <v>79</v>
      </c>
      <c r="D236" s="21">
        <f>Table9[[#This Row],[Performance]]*100/10050</f>
        <v>0.78606965174129351</v>
      </c>
      <c r="K236" s="23"/>
      <c r="L236"/>
    </row>
    <row r="237" spans="2:12" x14ac:dyDescent="0.3">
      <c r="B237" s="3" t="s">
        <v>70</v>
      </c>
      <c r="C237" s="24">
        <v>90</v>
      </c>
      <c r="D237" s="21">
        <f>Table9[[#This Row],[Performance]]*100/10050</f>
        <v>0.89552238805970152</v>
      </c>
      <c r="K237" s="23"/>
      <c r="L237"/>
    </row>
    <row r="238" spans="2:12" x14ac:dyDescent="0.3">
      <c r="B238" s="4" t="s">
        <v>70</v>
      </c>
      <c r="C238" s="25">
        <v>73</v>
      </c>
      <c r="D238" s="21">
        <f>Table9[[#This Row],[Performance]]*100/10050</f>
        <v>0.72636815920398012</v>
      </c>
      <c r="K238" s="23"/>
      <c r="L238"/>
    </row>
    <row r="239" spans="2:12" x14ac:dyDescent="0.3">
      <c r="B239" s="3" t="s">
        <v>89</v>
      </c>
      <c r="C239" s="24">
        <v>87</v>
      </c>
      <c r="D239" s="21">
        <f>Table9[[#This Row],[Performance]]*100/10050</f>
        <v>0.86567164179104472</v>
      </c>
      <c r="K239" s="23"/>
      <c r="L239"/>
    </row>
    <row r="240" spans="2:12" x14ac:dyDescent="0.3">
      <c r="B240" s="4" t="s">
        <v>66</v>
      </c>
      <c r="C240" s="25">
        <v>80</v>
      </c>
      <c r="D240" s="21">
        <f>Table9[[#This Row],[Performance]]*100/10050</f>
        <v>0.79601990049751248</v>
      </c>
      <c r="K240" s="23"/>
      <c r="L240"/>
    </row>
    <row r="241" spans="2:12" x14ac:dyDescent="0.3">
      <c r="B241" s="3" t="s">
        <v>66</v>
      </c>
      <c r="C241" s="24">
        <v>92</v>
      </c>
      <c r="D241" s="21">
        <f>Table9[[#This Row],[Performance]]*100/10050</f>
        <v>0.91542288557213936</v>
      </c>
      <c r="K241" s="23"/>
      <c r="L241"/>
    </row>
    <row r="242" spans="2:12" x14ac:dyDescent="0.3">
      <c r="B242" s="4" t="s">
        <v>75</v>
      </c>
      <c r="C242" s="25">
        <v>77</v>
      </c>
      <c r="D242" s="21">
        <f>Table9[[#This Row],[Performance]]*100/10050</f>
        <v>0.76616915422885568</v>
      </c>
      <c r="K242" s="23"/>
      <c r="L242"/>
    </row>
    <row r="243" spans="2:12" x14ac:dyDescent="0.3">
      <c r="B243" s="3" t="s">
        <v>86</v>
      </c>
      <c r="C243" s="24">
        <v>84</v>
      </c>
      <c r="D243" s="21">
        <f>Table9[[#This Row],[Performance]]*100/10050</f>
        <v>0.83582089552238803</v>
      </c>
      <c r="K243" s="23"/>
      <c r="L243"/>
    </row>
    <row r="244" spans="2:12" x14ac:dyDescent="0.3">
      <c r="B244" s="4" t="s">
        <v>89</v>
      </c>
      <c r="C244" s="25">
        <v>89</v>
      </c>
      <c r="D244" s="21">
        <f>Table9[[#This Row],[Performance]]*100/10050</f>
        <v>0.88557213930348255</v>
      </c>
      <c r="K244" s="23"/>
      <c r="L244"/>
    </row>
    <row r="245" spans="2:12" x14ac:dyDescent="0.3">
      <c r="B245" s="3" t="s">
        <v>89</v>
      </c>
      <c r="C245" s="24">
        <v>94</v>
      </c>
      <c r="D245" s="21">
        <f>Table9[[#This Row],[Performance]]*100/10050</f>
        <v>0.93532338308457708</v>
      </c>
      <c r="K245" s="23"/>
      <c r="L245"/>
    </row>
    <row r="246" spans="2:12" x14ac:dyDescent="0.3">
      <c r="B246" s="4" t="s">
        <v>70</v>
      </c>
      <c r="C246" s="25">
        <v>78</v>
      </c>
      <c r="D246" s="21">
        <f>Table9[[#This Row],[Performance]]*100/10050</f>
        <v>0.77611940298507465</v>
      </c>
      <c r="K246" s="23"/>
      <c r="L246"/>
    </row>
    <row r="247" spans="2:12" x14ac:dyDescent="0.3">
      <c r="B247" s="3" t="s">
        <v>70</v>
      </c>
      <c r="C247" s="24">
        <v>81</v>
      </c>
      <c r="D247" s="21">
        <f>Table9[[#This Row],[Performance]]*100/10050</f>
        <v>0.80597014925373134</v>
      </c>
      <c r="K247" s="23"/>
      <c r="L247"/>
    </row>
    <row r="248" spans="2:12" x14ac:dyDescent="0.3">
      <c r="B248" s="4" t="s">
        <v>70</v>
      </c>
      <c r="C248" s="25">
        <v>76</v>
      </c>
      <c r="D248" s="21">
        <f>Table9[[#This Row],[Performance]]*100/10050</f>
        <v>0.75621890547263682</v>
      </c>
      <c r="K248" s="23"/>
      <c r="L248"/>
    </row>
    <row r="249" spans="2:12" x14ac:dyDescent="0.3">
      <c r="B249" s="3" t="s">
        <v>66</v>
      </c>
      <c r="C249" s="24">
        <v>86</v>
      </c>
      <c r="D249" s="21">
        <f>Table9[[#This Row],[Performance]]*100/10050</f>
        <v>0.85572139303482586</v>
      </c>
      <c r="K249" s="23"/>
      <c r="L249"/>
    </row>
    <row r="250" spans="2:12" x14ac:dyDescent="0.3">
      <c r="B250" s="5" t="s">
        <v>86</v>
      </c>
      <c r="C250" s="26">
        <v>88</v>
      </c>
      <c r="D250" s="21">
        <f>Table9[[#This Row],[Performance]]*100/10050</f>
        <v>0.87562189054726369</v>
      </c>
      <c r="K250" s="23"/>
      <c r="L250"/>
    </row>
  </sheetData>
  <phoneticPr fontId="9" type="noConversion"/>
  <pageMargins left="0.75" right="0.75" top="1" bottom="1" header="0.5" footer="0.5"/>
  <tableParts count="5">
    <tablePart r:id="rId1"/>
    <tablePart r:id="rId2"/>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D8A56-E330-4FA8-8E3B-AF4EF27A0C39}">
  <dimension ref="A3:B4"/>
  <sheetViews>
    <sheetView topLeftCell="A2" workbookViewId="0">
      <selection activeCell="L18" sqref="L18"/>
    </sheetView>
  </sheetViews>
  <sheetFormatPr defaultRowHeight="14.4" x14ac:dyDescent="0.3"/>
  <cols>
    <col min="1" max="1" width="14.6640625" bestFit="1" customWidth="1"/>
    <col min="2" max="2" width="16.5546875" bestFit="1" customWidth="1"/>
  </cols>
  <sheetData>
    <row r="3" spans="1:2" x14ac:dyDescent="0.3">
      <c r="A3" t="s">
        <v>346</v>
      </c>
      <c r="B3" t="s">
        <v>347</v>
      </c>
    </row>
    <row r="4" spans="1:2" x14ac:dyDescent="0.3">
      <c r="A4" s="9">
        <v>55</v>
      </c>
      <c r="B4" s="9">
        <v>65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5980-A42D-4A88-BDE2-3E236F7643FD}">
  <dimension ref="A3:E4"/>
  <sheetViews>
    <sheetView workbookViewId="0">
      <selection activeCell="A3" sqref="A3:E4"/>
    </sheetView>
  </sheetViews>
  <sheetFormatPr defaultRowHeight="14.4" x14ac:dyDescent="0.3"/>
  <cols>
    <col min="1" max="1" width="19" bestFit="1" customWidth="1"/>
    <col min="2" max="2" width="17.6640625" bestFit="1" customWidth="1"/>
    <col min="3" max="3" width="15.6640625" bestFit="1" customWidth="1"/>
    <col min="4" max="4" width="20" bestFit="1" customWidth="1"/>
    <col min="5" max="5" width="18.21875" bestFit="1" customWidth="1"/>
  </cols>
  <sheetData>
    <row r="3" spans="1:5" x14ac:dyDescent="0.3">
      <c r="A3" t="s">
        <v>353</v>
      </c>
      <c r="B3" t="s">
        <v>354</v>
      </c>
      <c r="C3" t="s">
        <v>355</v>
      </c>
      <c r="D3" t="s">
        <v>356</v>
      </c>
      <c r="E3" t="s">
        <v>357</v>
      </c>
    </row>
    <row r="4" spans="1:5" x14ac:dyDescent="0.3">
      <c r="A4" s="9">
        <v>19</v>
      </c>
      <c r="B4" s="9">
        <v>28</v>
      </c>
      <c r="C4" s="9">
        <v>23</v>
      </c>
      <c r="D4" s="9">
        <v>25</v>
      </c>
      <c r="E4" s="9">
        <v>25</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C122-3614-401C-96C2-11ADFE5636B9}">
  <dimension ref="A3:B9"/>
  <sheetViews>
    <sheetView workbookViewId="0">
      <selection activeCell="M23" sqref="M23"/>
    </sheetView>
  </sheetViews>
  <sheetFormatPr defaultRowHeight="14.4" x14ac:dyDescent="0.3"/>
  <cols>
    <col min="1" max="1" width="12.5546875" bestFit="1" customWidth="1"/>
    <col min="2" max="2" width="20" bestFit="1" customWidth="1"/>
  </cols>
  <sheetData>
    <row r="3" spans="1:2" x14ac:dyDescent="0.3">
      <c r="A3" s="6" t="s">
        <v>204</v>
      </c>
      <c r="B3" t="s">
        <v>360</v>
      </c>
    </row>
    <row r="4" spans="1:2" x14ac:dyDescent="0.3">
      <c r="A4" s="7" t="s">
        <v>75</v>
      </c>
      <c r="B4" s="9">
        <v>22.746268656716421</v>
      </c>
    </row>
    <row r="5" spans="1:2" x14ac:dyDescent="0.3">
      <c r="A5" s="7" t="s">
        <v>66</v>
      </c>
      <c r="B5" s="9">
        <v>25.333333333333332</v>
      </c>
    </row>
    <row r="6" spans="1:2" x14ac:dyDescent="0.3">
      <c r="A6" s="7" t="s">
        <v>86</v>
      </c>
      <c r="B6" s="9">
        <v>11.800995024875622</v>
      </c>
    </row>
    <row r="7" spans="1:2" x14ac:dyDescent="0.3">
      <c r="A7" s="7" t="s">
        <v>70</v>
      </c>
      <c r="B7" s="9">
        <v>23.422885572139304</v>
      </c>
    </row>
    <row r="8" spans="1:2" x14ac:dyDescent="0.3">
      <c r="A8" s="7" t="s">
        <v>89</v>
      </c>
      <c r="B8" s="9">
        <v>16.696517412935322</v>
      </c>
    </row>
    <row r="9" spans="1:2" x14ac:dyDescent="0.3">
      <c r="A9" s="7" t="s">
        <v>205</v>
      </c>
      <c r="B9" s="9">
        <v>100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9A2DA-EF33-46D7-9BB7-EA6285CF1F5E}">
  <dimension ref="A3:E9"/>
  <sheetViews>
    <sheetView topLeftCell="A2" workbookViewId="0">
      <selection activeCell="G20" sqref="G20"/>
    </sheetView>
  </sheetViews>
  <sheetFormatPr defaultRowHeight="14.4" x14ac:dyDescent="0.3"/>
  <cols>
    <col min="1" max="1" width="12.5546875" bestFit="1" customWidth="1"/>
    <col min="2" max="3" width="28.88671875" bestFit="1" customWidth="1"/>
    <col min="4" max="4" width="27.5546875" bestFit="1" customWidth="1"/>
    <col min="5" max="5" width="22.6640625" bestFit="1" customWidth="1"/>
  </cols>
  <sheetData>
    <row r="3" spans="1:5" x14ac:dyDescent="0.3">
      <c r="A3" s="6" t="s">
        <v>204</v>
      </c>
      <c r="B3" t="s">
        <v>366</v>
      </c>
      <c r="C3" t="s">
        <v>367</v>
      </c>
      <c r="D3" t="s">
        <v>368</v>
      </c>
      <c r="E3" t="s">
        <v>369</v>
      </c>
    </row>
    <row r="4" spans="1:5" x14ac:dyDescent="0.3">
      <c r="A4" s="7" t="s">
        <v>75</v>
      </c>
      <c r="B4" s="9">
        <v>8</v>
      </c>
      <c r="C4" s="9">
        <v>5</v>
      </c>
      <c r="D4" s="9">
        <v>8</v>
      </c>
      <c r="E4" s="9">
        <v>6</v>
      </c>
    </row>
    <row r="5" spans="1:5" x14ac:dyDescent="0.3">
      <c r="A5" s="7" t="s">
        <v>66</v>
      </c>
      <c r="B5" s="9">
        <v>9</v>
      </c>
      <c r="C5" s="9">
        <v>5</v>
      </c>
      <c r="D5" s="9">
        <v>6</v>
      </c>
      <c r="E5" s="9">
        <v>10</v>
      </c>
    </row>
    <row r="6" spans="1:5" x14ac:dyDescent="0.3">
      <c r="A6" s="7" t="s">
        <v>86</v>
      </c>
      <c r="B6" s="9">
        <v>1</v>
      </c>
      <c r="C6" s="9">
        <v>3</v>
      </c>
      <c r="D6" s="9">
        <v>6</v>
      </c>
      <c r="E6" s="9">
        <v>4</v>
      </c>
    </row>
    <row r="7" spans="1:5" x14ac:dyDescent="0.3">
      <c r="A7" s="7" t="s">
        <v>70</v>
      </c>
      <c r="B7" s="9">
        <v>7</v>
      </c>
      <c r="C7" s="9">
        <v>9</v>
      </c>
      <c r="D7" s="9">
        <v>9</v>
      </c>
      <c r="E7" s="9">
        <v>4</v>
      </c>
    </row>
    <row r="8" spans="1:5" x14ac:dyDescent="0.3">
      <c r="A8" s="7" t="s">
        <v>89</v>
      </c>
      <c r="B8" s="9">
        <v>5</v>
      </c>
      <c r="C8" s="9">
        <v>7</v>
      </c>
      <c r="D8" s="9">
        <v>5</v>
      </c>
      <c r="E8" s="9">
        <v>3</v>
      </c>
    </row>
    <row r="9" spans="1:5" x14ac:dyDescent="0.3">
      <c r="A9" s="7" t="s">
        <v>205</v>
      </c>
      <c r="B9" s="9">
        <v>30</v>
      </c>
      <c r="C9" s="9">
        <v>29</v>
      </c>
      <c r="D9" s="9">
        <v>34</v>
      </c>
      <c r="E9" s="9">
        <v>27</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ED856-E4A5-49B6-B3ED-B4C6BD5B4DD0}">
  <dimension ref="A3:B28"/>
  <sheetViews>
    <sheetView workbookViewId="0">
      <selection activeCell="N21" sqref="N21"/>
    </sheetView>
  </sheetViews>
  <sheetFormatPr defaultRowHeight="14.4" x14ac:dyDescent="0.3"/>
  <cols>
    <col min="1" max="1" width="12.5546875" bestFit="1" customWidth="1"/>
    <col min="2" max="2" width="19.5546875" bestFit="1" customWidth="1"/>
  </cols>
  <sheetData>
    <row r="3" spans="1:2" x14ac:dyDescent="0.3">
      <c r="A3" s="6" t="s">
        <v>204</v>
      </c>
      <c r="B3" t="s">
        <v>370</v>
      </c>
    </row>
    <row r="4" spans="1:2" x14ac:dyDescent="0.3">
      <c r="A4" s="7" t="s">
        <v>65</v>
      </c>
      <c r="B4" s="9">
        <v>33</v>
      </c>
    </row>
    <row r="5" spans="1:2" x14ac:dyDescent="0.3">
      <c r="A5" s="10" t="s">
        <v>21</v>
      </c>
      <c r="B5" s="9">
        <v>8</v>
      </c>
    </row>
    <row r="6" spans="1:2" x14ac:dyDescent="0.3">
      <c r="A6" s="10" t="s">
        <v>16</v>
      </c>
      <c r="B6" s="9">
        <v>6</v>
      </c>
    </row>
    <row r="7" spans="1:2" x14ac:dyDescent="0.3">
      <c r="A7" s="10" t="s">
        <v>43</v>
      </c>
      <c r="B7" s="9">
        <v>7</v>
      </c>
    </row>
    <row r="8" spans="1:2" x14ac:dyDescent="0.3">
      <c r="A8" s="10" t="s">
        <v>27</v>
      </c>
      <c r="B8" s="9">
        <v>5</v>
      </c>
    </row>
    <row r="9" spans="1:2" x14ac:dyDescent="0.3">
      <c r="A9" s="10" t="s">
        <v>53</v>
      </c>
      <c r="B9" s="9">
        <v>7</v>
      </c>
    </row>
    <row r="10" spans="1:2" x14ac:dyDescent="0.3">
      <c r="A10" s="7" t="s">
        <v>97</v>
      </c>
      <c r="B10" s="9">
        <v>22</v>
      </c>
    </row>
    <row r="11" spans="1:2" x14ac:dyDescent="0.3">
      <c r="A11" s="10" t="s">
        <v>21</v>
      </c>
      <c r="B11" s="9">
        <v>3</v>
      </c>
    </row>
    <row r="12" spans="1:2" x14ac:dyDescent="0.3">
      <c r="A12" s="10" t="s">
        <v>16</v>
      </c>
      <c r="B12" s="9">
        <v>6</v>
      </c>
    </row>
    <row r="13" spans="1:2" x14ac:dyDescent="0.3">
      <c r="A13" s="10" t="s">
        <v>43</v>
      </c>
      <c r="B13" s="9">
        <v>2</v>
      </c>
    </row>
    <row r="14" spans="1:2" x14ac:dyDescent="0.3">
      <c r="A14" s="10" t="s">
        <v>27</v>
      </c>
      <c r="B14" s="9">
        <v>8</v>
      </c>
    </row>
    <row r="15" spans="1:2" x14ac:dyDescent="0.3">
      <c r="A15" s="10" t="s">
        <v>53</v>
      </c>
      <c r="B15" s="9">
        <v>3</v>
      </c>
    </row>
    <row r="16" spans="1:2" x14ac:dyDescent="0.3">
      <c r="A16" s="7" t="s">
        <v>64</v>
      </c>
      <c r="B16" s="9">
        <v>34</v>
      </c>
    </row>
    <row r="17" spans="1:2" x14ac:dyDescent="0.3">
      <c r="A17" s="10" t="s">
        <v>21</v>
      </c>
      <c r="B17" s="9">
        <v>10</v>
      </c>
    </row>
    <row r="18" spans="1:2" x14ac:dyDescent="0.3">
      <c r="A18" s="10" t="s">
        <v>16</v>
      </c>
      <c r="B18" s="9">
        <v>4</v>
      </c>
    </row>
    <row r="19" spans="1:2" x14ac:dyDescent="0.3">
      <c r="A19" s="10" t="s">
        <v>43</v>
      </c>
      <c r="B19" s="9">
        <v>6</v>
      </c>
    </row>
    <row r="20" spans="1:2" x14ac:dyDescent="0.3">
      <c r="A20" s="10" t="s">
        <v>27</v>
      </c>
      <c r="B20" s="9">
        <v>12</v>
      </c>
    </row>
    <row r="21" spans="1:2" x14ac:dyDescent="0.3">
      <c r="A21" s="10" t="s">
        <v>53</v>
      </c>
      <c r="B21" s="9">
        <v>2</v>
      </c>
    </row>
    <row r="22" spans="1:2" x14ac:dyDescent="0.3">
      <c r="A22" s="7" t="s">
        <v>74</v>
      </c>
      <c r="B22" s="9">
        <v>31</v>
      </c>
    </row>
    <row r="23" spans="1:2" x14ac:dyDescent="0.3">
      <c r="A23" s="10" t="s">
        <v>21</v>
      </c>
      <c r="B23" s="9">
        <v>4</v>
      </c>
    </row>
    <row r="24" spans="1:2" x14ac:dyDescent="0.3">
      <c r="A24" s="10" t="s">
        <v>16</v>
      </c>
      <c r="B24" s="9">
        <v>11</v>
      </c>
    </row>
    <row r="25" spans="1:2" x14ac:dyDescent="0.3">
      <c r="A25" s="10" t="s">
        <v>43</v>
      </c>
      <c r="B25" s="9">
        <v>1</v>
      </c>
    </row>
    <row r="26" spans="1:2" x14ac:dyDescent="0.3">
      <c r="A26" s="10" t="s">
        <v>27</v>
      </c>
      <c r="B26" s="9">
        <v>7</v>
      </c>
    </row>
    <row r="27" spans="1:2" x14ac:dyDescent="0.3">
      <c r="A27" s="10" t="s">
        <v>53</v>
      </c>
      <c r="B27" s="9">
        <v>8</v>
      </c>
    </row>
    <row r="28" spans="1:2" x14ac:dyDescent="0.3">
      <c r="A28" s="7" t="s">
        <v>205</v>
      </c>
      <c r="B28" s="9">
        <v>120</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8B5AF-36DA-417E-9270-2463D94117EF}">
  <dimension ref="A3:B9"/>
  <sheetViews>
    <sheetView workbookViewId="0">
      <selection activeCell="K5" sqref="K5"/>
    </sheetView>
  </sheetViews>
  <sheetFormatPr defaultRowHeight="14.4" x14ac:dyDescent="0.3"/>
  <cols>
    <col min="1" max="1" width="12.5546875" bestFit="1" customWidth="1"/>
    <col min="2" max="3" width="19.109375" bestFit="1" customWidth="1"/>
  </cols>
  <sheetData>
    <row r="3" spans="1:2" x14ac:dyDescent="0.3">
      <c r="A3" s="6" t="s">
        <v>204</v>
      </c>
      <c r="B3" t="s">
        <v>224</v>
      </c>
    </row>
    <row r="4" spans="1:2" x14ac:dyDescent="0.3">
      <c r="A4" s="7" t="s">
        <v>88</v>
      </c>
      <c r="B4" s="9">
        <v>28</v>
      </c>
    </row>
    <row r="5" spans="1:2" x14ac:dyDescent="0.3">
      <c r="A5" s="7" t="s">
        <v>69</v>
      </c>
      <c r="B5" s="9">
        <v>25</v>
      </c>
    </row>
    <row r="6" spans="1:2" x14ac:dyDescent="0.3">
      <c r="A6" s="7" t="s">
        <v>64</v>
      </c>
      <c r="B6" s="9">
        <v>23</v>
      </c>
    </row>
    <row r="7" spans="1:2" x14ac:dyDescent="0.3">
      <c r="A7" s="7" t="s">
        <v>73</v>
      </c>
      <c r="B7" s="9">
        <v>19</v>
      </c>
    </row>
    <row r="8" spans="1:2" x14ac:dyDescent="0.3">
      <c r="A8" s="7" t="s">
        <v>79</v>
      </c>
      <c r="B8" s="9">
        <v>25</v>
      </c>
    </row>
    <row r="9" spans="1:2" x14ac:dyDescent="0.3">
      <c r="A9" s="7" t="s">
        <v>205</v>
      </c>
      <c r="B9" s="9">
        <v>120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9F3EE-1A6F-46EA-AD38-B18FC95ACBEB}">
  <dimension ref="A1"/>
  <sheetViews>
    <sheetView showGridLines="0" tabSelected="1" workbookViewId="0">
      <selection activeCell="B5" sqref="B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Sales Dataset</vt:lpstr>
      <vt:lpstr>Total Sales</vt:lpstr>
      <vt:lpstr>Customer Trends</vt:lpstr>
      <vt:lpstr>Total Profit vs Product</vt:lpstr>
      <vt:lpstr>Sales vs Years</vt:lpstr>
      <vt:lpstr>Sales vs Cities</vt:lpstr>
      <vt:lpstr>Profit % vs Product</vt:lpstr>
      <vt:lpstr>Sum per Product</vt:lpstr>
      <vt:lpstr>DashBoard</vt:lpstr>
      <vt:lpstr>Employment Dataset</vt:lpstr>
      <vt:lpstr>Gender_Comparison</vt:lpstr>
      <vt:lpstr>Employement_Status</vt:lpstr>
      <vt:lpstr>Department_Performance</vt:lpstr>
      <vt:lpstr>Department vs Salary</vt:lpstr>
      <vt:lpstr>Employment vs City</vt:lpstr>
      <vt:lpstr>Job_Category</vt:lpstr>
      <vt:lpstr>Dash_Board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patrick20191995@gmail.com</cp:lastModifiedBy>
  <dcterms:created xsi:type="dcterms:W3CDTF">2026-05-19T10:20:38Z</dcterms:created>
  <dcterms:modified xsi:type="dcterms:W3CDTF">2026-05-25T10:37:47Z</dcterms:modified>
</cp:coreProperties>
</file>